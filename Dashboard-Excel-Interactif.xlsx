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1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C\OneDrive\Bureau\"/>
    </mc:Choice>
  </mc:AlternateContent>
  <xr:revisionPtr revIDLastSave="0" documentId="13_ncr:1_{AAA66008-9136-4AD6-AB86-61781171C988}" xr6:coauthVersionLast="47" xr6:coauthVersionMax="47" xr10:uidLastSave="{00000000-0000-0000-0000-000000000000}"/>
  <bookViews>
    <workbookView xWindow="-108" yWindow="-108" windowWidth="23256" windowHeight="12456" activeTab="3" xr2:uid="{0DE5642A-602C-4C9F-954F-0AE0E7C58C4A}"/>
  </bookViews>
  <sheets>
    <sheet name="Tableau bord" sheetId="2" r:id="rId1"/>
    <sheet name="Données traités" sheetId="3" r:id="rId2"/>
    <sheet name="Contacts mails" sheetId="4" r:id="rId3"/>
    <sheet name="🔒BD" sheetId="1" r:id="rId4"/>
  </sheets>
  <definedNames>
    <definedName name="_xlchart.v5.0" hidden="1">'Données traités'!$E$3</definedName>
    <definedName name="_xlchart.v5.1" hidden="1">'Données traités'!$E$4:$E$10</definedName>
    <definedName name="_xlchart.v5.2" hidden="1">'Données traités'!$F$3</definedName>
    <definedName name="_xlchart.v5.3" hidden="1">'Données traités'!$F$4:$F$10</definedName>
    <definedName name="Segment_Mois1">#N/A</definedName>
    <definedName name="Segment_Pays1">#N/A</definedName>
    <definedName name="Segment_Trimestre1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3" l="1"/>
  <c r="E4" i="3"/>
  <c r="E5" i="3"/>
  <c r="E6" i="3"/>
  <c r="E7" i="3"/>
  <c r="E8" i="3"/>
  <c r="E9" i="3"/>
  <c r="D76" i="3"/>
  <c r="D75" i="3"/>
  <c r="D74" i="3"/>
  <c r="D73" i="3"/>
  <c r="D72" i="3"/>
  <c r="F4" i="3"/>
  <c r="F5" i="3"/>
  <c r="F6" i="3"/>
  <c r="F7" i="3"/>
  <c r="F8" i="3"/>
  <c r="F9" i="3"/>
  <c r="E10" i="3"/>
  <c r="F10" i="3"/>
  <c r="F3" i="3"/>
  <c r="E3" i="3"/>
  <c r="K58" i="3"/>
  <c r="K59" i="3"/>
  <c r="K60" i="3"/>
  <c r="K61" i="3"/>
  <c r="K62" i="3"/>
  <c r="K63" i="3"/>
  <c r="K64" i="3"/>
  <c r="K65" i="3"/>
  <c r="K57" i="3"/>
  <c r="D67" i="3"/>
  <c r="E67" i="3"/>
  <c r="F67" i="3"/>
  <c r="G67" i="3"/>
  <c r="H67" i="3"/>
  <c r="I67" i="3"/>
  <c r="C67" i="3"/>
  <c r="K44" i="3"/>
  <c r="K45" i="3"/>
  <c r="K46" i="3"/>
  <c r="K47" i="3"/>
  <c r="K48" i="3"/>
  <c r="K49" i="3"/>
  <c r="K50" i="3"/>
  <c r="K51" i="3"/>
  <c r="K43" i="3"/>
  <c r="I53" i="3"/>
  <c r="D53" i="3"/>
  <c r="E53" i="3"/>
  <c r="F53" i="3"/>
  <c r="G53" i="3"/>
  <c r="H53" i="3"/>
  <c r="C53" i="3"/>
  <c r="E38" i="3"/>
  <c r="E39" i="3" s="1"/>
  <c r="D38" i="3"/>
  <c r="C38" i="3"/>
  <c r="E24" i="3"/>
  <c r="E25" i="3" s="1"/>
  <c r="C24" i="3"/>
  <c r="Q9" i="1" a="1"/>
  <c r="Q15" i="1" a="1"/>
  <c r="Q21" i="1" a="1"/>
  <c r="Q27" i="1" a="1"/>
  <c r="Q33" i="1" a="1"/>
  <c r="Q39" i="1" a="1"/>
  <c r="Q45" i="1" a="1"/>
  <c r="Q51" i="1" a="1"/>
  <c r="Q57" i="1" a="1"/>
  <c r="Q63" i="1" a="1"/>
  <c r="Q16" i="1" a="1"/>
  <c r="Q34" i="1" a="1"/>
  <c r="Q46" i="1" a="1"/>
  <c r="Q64" i="1" a="1"/>
  <c r="Q65" i="1" a="1"/>
  <c r="Q14" i="1" a="1"/>
  <c r="Q10" i="1" a="1"/>
  <c r="Q22" i="1" a="1"/>
  <c r="Q28" i="1" a="1"/>
  <c r="Q40" i="1" a="1"/>
  <c r="Q52" i="1" a="1"/>
  <c r="Q50" i="1" a="1"/>
  <c r="Q4" i="1" a="1"/>
  <c r="Q58" i="1" a="1"/>
  <c r="Q26" i="1" a="1"/>
  <c r="Q11" i="1" a="1"/>
  <c r="Q17" i="1" a="1"/>
  <c r="Q23" i="1" a="1"/>
  <c r="Q29" i="1" a="1"/>
  <c r="Q35" i="1" a="1"/>
  <c r="Q47" i="1" a="1"/>
  <c r="Q53" i="1" a="1"/>
  <c r="Q44" i="1" a="1"/>
  <c r="Q5" i="1" a="1"/>
  <c r="Q41" i="1" a="1"/>
  <c r="Q59" i="1" a="1"/>
  <c r="Q8" i="1" a="1"/>
  <c r="Q12" i="1" a="1"/>
  <c r="Q18" i="1" a="1"/>
  <c r="Q24" i="1" a="1"/>
  <c r="Q36" i="1" a="1"/>
  <c r="Q42" i="1" a="1"/>
  <c r="Q54" i="1" a="1"/>
  <c r="Q62" i="1" a="1"/>
  <c r="Q6" i="1" a="1"/>
  <c r="Q30" i="1" a="1"/>
  <c r="Q48" i="1" a="1"/>
  <c r="Q60" i="1" a="1"/>
  <c r="Q32" i="1" a="1"/>
  <c r="Q13" i="1" a="1"/>
  <c r="Q19" i="1" a="1"/>
  <c r="Q25" i="1" a="1"/>
  <c r="Q31" i="1" a="1"/>
  <c r="Q43" i="1" a="1"/>
  <c r="Q49" i="1" a="1"/>
  <c r="Q61" i="1" a="1"/>
  <c r="Q38" i="1" a="1"/>
  <c r="Q7" i="1" a="1"/>
  <c r="Q37" i="1" a="1"/>
  <c r="Q55" i="1" a="1"/>
  <c r="Q56" i="1" a="1"/>
  <c r="Q20" i="1" a="1"/>
  <c r="Q20" i="1" l="1"/>
  <c r="Q56" i="1"/>
  <c r="Q55" i="1"/>
  <c r="Q37" i="1"/>
  <c r="Q7" i="1"/>
  <c r="Q38" i="1"/>
  <c r="Q61" i="1"/>
  <c r="Q49" i="1"/>
  <c r="Q43" i="1"/>
  <c r="Q31" i="1"/>
  <c r="Q25" i="1"/>
  <c r="Q19" i="1"/>
  <c r="Q13" i="1"/>
  <c r="Q32" i="1"/>
  <c r="Q60" i="1"/>
  <c r="Q48" i="1"/>
  <c r="Q30" i="1"/>
  <c r="Q6" i="1"/>
  <c r="Q62" i="1"/>
  <c r="Q54" i="1"/>
  <c r="Q42" i="1"/>
  <c r="Q36" i="1"/>
  <c r="Q24" i="1"/>
  <c r="Q18" i="1"/>
  <c r="Q12" i="1"/>
  <c r="Q8" i="1"/>
  <c r="Q59" i="1"/>
  <c r="Q41" i="1"/>
  <c r="Q5" i="1"/>
  <c r="Q44" i="1"/>
  <c r="Q53" i="1"/>
  <c r="Q47" i="1"/>
  <c r="Q35" i="1"/>
  <c r="Q29" i="1"/>
  <c r="Q23" i="1"/>
  <c r="Q17" i="1"/>
  <c r="Q11" i="1"/>
  <c r="Q26" i="1"/>
  <c r="Q58" i="1"/>
  <c r="Q4" i="1"/>
  <c r="Q50" i="1"/>
  <c r="Q52" i="1"/>
  <c r="Q40" i="1"/>
  <c r="Q28" i="1"/>
  <c r="Q22" i="1"/>
  <c r="Q10" i="1"/>
  <c r="Q14" i="1"/>
  <c r="Q65" i="1"/>
  <c r="Q64" i="1"/>
  <c r="Q46" i="1"/>
  <c r="Q34" i="1"/>
  <c r="Q16" i="1"/>
  <c r="Q63" i="1"/>
  <c r="Q57" i="1"/>
  <c r="Q51" i="1"/>
  <c r="Q45" i="1"/>
  <c r="Q39" i="1"/>
  <c r="Q33" i="1"/>
  <c r="Q27" i="1"/>
  <c r="Q21" i="1"/>
  <c r="Q15" i="1"/>
  <c r="Q9" i="1"/>
  <c r="K67" i="3"/>
  <c r="K68" i="3" s="1"/>
  <c r="K5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<sst xmlns="http://schemas.openxmlformats.org/spreadsheetml/2006/main" count="208" uniqueCount="56">
  <si>
    <t>Mois</t>
  </si>
  <si>
    <t>Pays</t>
  </si>
  <si>
    <t>Objectif</t>
  </si>
  <si>
    <t>CA Ventes</t>
  </si>
  <si>
    <t>Bénéfices</t>
  </si>
  <si>
    <t>Revenus Cibles</t>
  </si>
  <si>
    <t>Nombre client</t>
  </si>
  <si>
    <t>Trimestre</t>
  </si>
  <si>
    <t>Taux concrétisation</t>
  </si>
  <si>
    <t>Taux de marge</t>
  </si>
  <si>
    <t>Taux satisfaction client</t>
  </si>
  <si>
    <t>Qualité</t>
  </si>
  <si>
    <t>Délais</t>
  </si>
  <si>
    <t>Disponibilité</t>
  </si>
  <si>
    <t>Services</t>
  </si>
  <si>
    <t>SAV</t>
  </si>
  <si>
    <t>Belgique</t>
  </si>
  <si>
    <t>Trimestre  1</t>
  </si>
  <si>
    <t>France</t>
  </si>
  <si>
    <t>Allemagne</t>
  </si>
  <si>
    <t>Italie</t>
  </si>
  <si>
    <t>Portugal</t>
  </si>
  <si>
    <t>Espagne</t>
  </si>
  <si>
    <t>Suisse</t>
  </si>
  <si>
    <t>Trimestre  2</t>
  </si>
  <si>
    <t>Trimestre  3</t>
  </si>
  <si>
    <t>#268373</t>
  </si>
  <si>
    <t>#F2F5F7</t>
  </si>
  <si>
    <t>#8CA999</t>
  </si>
  <si>
    <t>Étiquettes de lignes</t>
  </si>
  <si>
    <t>Total général</t>
  </si>
  <si>
    <t>Somme de CA Ventes</t>
  </si>
  <si>
    <t>Somme de Objectif</t>
  </si>
  <si>
    <t>Moyenne de Taux concrétisation</t>
  </si>
  <si>
    <t>Concretisation</t>
  </si>
  <si>
    <t>Echec</t>
  </si>
  <si>
    <t>Somme de Bénéfices</t>
  </si>
  <si>
    <t>Somme de Revenus Cibles</t>
  </si>
  <si>
    <t>Moyenne de Taux de marge</t>
  </si>
  <si>
    <t>Étiquettes de colonnes</t>
  </si>
  <si>
    <t>Somme de Nombre client</t>
  </si>
  <si>
    <t>Moyenne de Taux satisfaction client</t>
  </si>
  <si>
    <t>Moyenne de Qualité</t>
  </si>
  <si>
    <t>Moyenne de Délais</t>
  </si>
  <si>
    <t>Moyenne de Disponibilité</t>
  </si>
  <si>
    <t>Moyenne de Services</t>
  </si>
  <si>
    <t>Moyenne de SAV</t>
  </si>
  <si>
    <t>Marge</t>
  </si>
  <si>
    <t>Insatisfaction</t>
  </si>
  <si>
    <t>satisfaction_par mois</t>
  </si>
  <si>
    <t>Satisfaction général(année)</t>
  </si>
  <si>
    <t>Histogramme</t>
  </si>
  <si>
    <t>courbe</t>
  </si>
  <si>
    <t>Radaar</t>
  </si>
  <si>
    <t>Barre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</si>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</sst>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* #,##0.00\ &quot;€&quot;_-;\-* #,##0.00\ &quot;€&quot;_-;_-* &quot;-&quot;??\ &quot;€&quot;_-;_-@_-"/>
    <numFmt numFmtId="164" formatCode="mmm"/>
    <numFmt numFmtId="165" formatCode="_-* #,##0\ &quot;€&quot;_-;\-* #,##0\ &quot;€&quot;_-;_-* &quot;-&quot;??\ &quot;€&quot;_-;_-@_-"/>
    <numFmt numFmtId="166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8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68373"/>
        <bgColor indexed="64"/>
      </patternFill>
    </fill>
    <fill>
      <patternFill patternType="solid">
        <fgColor rgb="FFF2F5F7"/>
        <bgColor indexed="64"/>
      </patternFill>
    </fill>
    <fill>
      <patternFill patternType="solid">
        <fgColor rgb="FF8CA99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9" fontId="0" fillId="0" borderId="0" xfId="2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1" applyNumberFormat="1" applyFont="1" applyFill="1" applyBorder="1" applyAlignment="1">
      <alignment horizontal="center"/>
    </xf>
    <xf numFmtId="9" fontId="0" fillId="0" borderId="0" xfId="2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2" fillId="5" borderId="1" xfId="0" applyFont="1" applyFill="1" applyBorder="1"/>
    <xf numFmtId="165" fontId="0" fillId="0" borderId="0" xfId="0" applyNumberFormat="1"/>
    <xf numFmtId="164" fontId="0" fillId="0" borderId="0" xfId="0" applyNumberFormat="1" applyAlignment="1">
      <alignment horizontal="left"/>
    </xf>
    <xf numFmtId="9" fontId="0" fillId="0" borderId="0" xfId="0" applyNumberFormat="1"/>
    <xf numFmtId="166" fontId="0" fillId="0" borderId="0" xfId="0" applyNumberFormat="1"/>
    <xf numFmtId="0" fontId="4" fillId="2" borderId="0" xfId="0" applyFont="1" applyFill="1" applyAlignment="1">
      <alignment horizontal="right" vertical="top"/>
    </xf>
  </cellXfs>
  <cellStyles count="3">
    <cellStyle name="Monétaire" xfId="1" builtinId="4"/>
    <cellStyle name="Normal" xfId="0" builtinId="0"/>
    <cellStyle name="Pourcentage" xfId="2" builtinId="5"/>
  </cellStyles>
  <dxfs count="30"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_-* #,##0\ &quot;€&quot;_-;\-* #,##0\ &quot;€&quot;_-;_-* &quot;-&quot;??\ &quot;€&quot;_-;_-@_-"/>
    </dxf>
    <dxf>
      <numFmt numFmtId="165" formatCode="_-* #,##0\ &quot;€&quot;_-;\-* #,##0\ &quot;€&quot;_-;_-* &quot;-&quot;??\ &quot;€&quot;_-;_-@_-"/>
    </dxf>
    <dxf>
      <numFmt numFmtId="166" formatCode="_-* #,##0_-;\-* #,##0_-;_-* &quot;-&quot;??_-;_-@_-"/>
    </dxf>
    <dxf>
      <numFmt numFmtId="13" formatCode="0%"/>
    </dxf>
    <dxf>
      <numFmt numFmtId="165" formatCode="_-* #,##0\ &quot;€&quot;_-;\-* #,##0\ &quot;€&quot;_-;_-* &quot;-&quot;??\ &quot;€&quot;_-;_-@_-"/>
    </dxf>
    <dxf>
      <numFmt numFmtId="13" formatCode="0%"/>
    </dxf>
    <dxf>
      <numFmt numFmtId="13" formatCode="0%"/>
    </dxf>
    <dxf>
      <numFmt numFmtId="165" formatCode="_-* #,##0\ &quot;€&quot;_-;\-* #,##0\ &quot;€&quot;_-;_-* &quot;-&quot;??\ &quot;€&quot;_-;_-@_-"/>
    </dxf>
    <dxf>
      <numFmt numFmtId="13" formatCode="0%"/>
    </dxf>
    <dxf>
      <font>
        <b/>
        <i val="0"/>
        <color rgb="FF268373"/>
      </font>
    </dxf>
    <dxf>
      <fill>
        <patternFill>
          <bgColor rgb="FFF2F5F7"/>
        </patternFill>
      </fill>
    </dxf>
  </dxfs>
  <tableStyles count="1" defaultTableStyle="TableStyleMedium2" defaultPivotStyle="PivotStyleLight16">
    <tableStyle name="Style de segment 1" pivot="0" table="0" count="8" xr9:uid="{BC73655A-7EE9-4EAF-B091-4B8FCEA94BB6}">
      <tableStyleElement type="wholeTable" dxfId="29"/>
      <tableStyleElement type="headerRow" dxfId="28"/>
    </tableStyle>
  </tableStyles>
  <colors>
    <mruColors>
      <color rgb="FF8CA999"/>
      <color rgb="FF268373"/>
      <color rgb="FFF2F5F7"/>
      <color rgb="FFC1D1C8"/>
    </mruColors>
  </colors>
  <extLst>
    <ext xmlns:x14="http://schemas.microsoft.com/office/spreadsheetml/2009/9/main" uri="{46F421CA-312F-682f-3DD2-61675219B42D}">
      <x14:dxfs count="6">
        <dxf>
          <font>
            <color theme="0"/>
          </font>
          <fill>
            <patternFill>
              <bgColor rgb="FF268373"/>
            </patternFill>
          </fill>
        </dxf>
        <dxf>
          <fill>
            <patternFill>
              <bgColor rgb="FF8CA999"/>
            </patternFill>
          </fill>
        </dxf>
        <dxf>
          <font>
            <color theme="0"/>
          </font>
          <fill>
            <patternFill>
              <bgColor rgb="FF268373"/>
            </patternFill>
          </fill>
        </dxf>
        <dxf>
          <fill>
            <patternFill>
              <bgColor rgb="FF8CA999"/>
            </patternFill>
          </fill>
        </dxf>
        <dxf>
          <fill>
            <patternFill>
              <bgColor rgb="FF8CA999"/>
            </patternFill>
          </fill>
        </dxf>
        <dxf>
          <fill>
            <patternFill>
              <bgColor rgb="FF8CA999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tyle de segment 1">
          <x14:slicerStyleElements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7090084813778445E-2"/>
          <c:y val="0"/>
          <c:w val="0.89419708900023864"/>
          <c:h val="1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26837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3A0-4630-95FC-90788F23787C}"/>
              </c:ext>
            </c:extLst>
          </c:dPt>
          <c:dPt>
            <c:idx val="1"/>
            <c:bubble3D val="0"/>
            <c:spPr>
              <a:solidFill>
                <a:srgbClr val="8CA999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3A0-4630-95FC-90788F23787C}"/>
              </c:ext>
            </c:extLst>
          </c:dPt>
          <c:dLbls>
            <c:dLbl>
              <c:idx val="0"/>
              <c:layout>
                <c:manualLayout>
                  <c:x val="-0.12290473467352891"/>
                  <c:y val="-0.3259256724598640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3200" b="1" i="0" u="none" strike="noStrike" kern="1200" baseline="0">
                      <a:solidFill>
                        <a:srgbClr val="26837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9273743016759786"/>
                      <c:h val="0.2948643570608674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3A0-4630-95FC-90788F23787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3A0-4630-95FC-90788F2378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200" b="1" i="0" u="none" strike="noStrike" kern="1200" baseline="0">
                    <a:solidFill>
                      <a:srgbClr val="268373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'Données traités'!$E$24:$E$25</c:f>
              <c:numCache>
                <c:formatCode>0%</c:formatCode>
                <c:ptCount val="2"/>
                <c:pt idx="0">
                  <c:v>0.85555555555555551</c:v>
                </c:pt>
                <c:pt idx="1">
                  <c:v>0.14444444444444449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3A0-4630-95FC-90788F23787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7090084813778445E-2"/>
          <c:y val="0"/>
          <c:w val="0.89419708900023864"/>
          <c:h val="1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26837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0A9-4CC5-9134-DD1CF7DA14E7}"/>
              </c:ext>
            </c:extLst>
          </c:dPt>
          <c:dPt>
            <c:idx val="1"/>
            <c:bubble3D val="0"/>
            <c:spPr>
              <a:solidFill>
                <a:srgbClr val="8CA999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0A9-4CC5-9134-DD1CF7DA14E7}"/>
              </c:ext>
            </c:extLst>
          </c:dPt>
          <c:dLbls>
            <c:dLbl>
              <c:idx val="0"/>
              <c:layout>
                <c:manualLayout>
                  <c:x val="-0.27188081936685288"/>
                  <c:y val="0.1086418908199546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50763500931098704"/>
                      <c:h val="0.2948643570608674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60A9-4CC5-9134-DD1CF7DA14E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0A9-4CC5-9134-DD1CF7DA14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1" i="0" u="none" strike="noStrike" kern="1200" baseline="0">
                    <a:solidFill>
                      <a:srgbClr val="268373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'Données traités'!$E$38:$E$39</c:f>
              <c:numCache>
                <c:formatCode>0%</c:formatCode>
                <c:ptCount val="2"/>
                <c:pt idx="0">
                  <c:v>0.42746031746031732</c:v>
                </c:pt>
                <c:pt idx="1">
                  <c:v>0.57253968253968268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A9-4CC5-9134-DD1CF7DA14E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923473951230955"/>
          <c:y val="0"/>
          <c:w val="0.89419708900023864"/>
          <c:h val="1"/>
        </c:manualLayout>
      </c:layout>
      <c:doughnutChart>
        <c:varyColors val="1"/>
        <c:ser>
          <c:idx val="0"/>
          <c:order val="0"/>
          <c:spPr>
            <a:solidFill>
              <a:srgbClr val="FFFF00"/>
            </a:solidFill>
            <a:ln>
              <a:noFill/>
            </a:ln>
          </c:spPr>
          <c:dPt>
            <c:idx val="0"/>
            <c:bubble3D val="0"/>
            <c:spPr>
              <a:solidFill>
                <a:srgbClr val="26837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23F-414A-9A1A-5812C86C5FCF}"/>
              </c:ext>
            </c:extLst>
          </c:dPt>
          <c:dPt>
            <c:idx val="1"/>
            <c:bubble3D val="0"/>
            <c:spPr>
              <a:solidFill>
                <a:srgbClr val="8CA999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23F-414A-9A1A-5812C86C5FCF}"/>
              </c:ext>
            </c:extLst>
          </c:dPt>
          <c:dLbls>
            <c:dLbl>
              <c:idx val="0"/>
              <c:layout>
                <c:manualLayout>
                  <c:x val="-0.24208566108007445"/>
                  <c:y val="-0.246913388227169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5305027932960894"/>
                      <c:h val="0.4154568558710171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723F-414A-9A1A-5812C86C5FC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23F-414A-9A1A-5812C86C5F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1" i="0" u="none" strike="noStrike" kern="1200" baseline="0">
                    <a:solidFill>
                      <a:srgbClr val="268373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'Données traités'!$K$67:$K$68</c:f>
              <c:numCache>
                <c:formatCode>0%</c:formatCode>
                <c:ptCount val="2"/>
                <c:pt idx="0">
                  <c:v>0.71114285714285719</c:v>
                </c:pt>
                <c:pt idx="1">
                  <c:v>0.28885714285714281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3F-414A-9A1A-5812C86C5FC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[Projet_Valeo.xlsx]Données traités!Tableau croisé dynamique2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68373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8CA999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'Données traités'!$C$13</c:f>
              <c:strCache>
                <c:ptCount val="1"/>
                <c:pt idx="0">
                  <c:v>Somme de CA Ventes</c:v>
                </c:pt>
              </c:strCache>
            </c:strRef>
          </c:tx>
          <c:spPr>
            <a:solidFill>
              <a:srgbClr val="26837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'Données traités'!$B$14:$B$22</c:f>
              <c:strCache>
                <c:ptCount val="9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</c:strCache>
            </c:strRef>
          </c:cat>
          <c:val>
            <c:numRef>
              <c:f>'Données traités'!$C$14:$C$22</c:f>
              <c:numCache>
                <c:formatCode>_-* #\ ##0\ "€"_-;\-* #\ ##0\ "€"_-;_-* "-"??\ "€"_-;_-@_-</c:formatCode>
                <c:ptCount val="9"/>
                <c:pt idx="0">
                  <c:v>25390</c:v>
                </c:pt>
                <c:pt idx="1">
                  <c:v>38155</c:v>
                </c:pt>
                <c:pt idx="2">
                  <c:v>49117.560000000005</c:v>
                </c:pt>
                <c:pt idx="3">
                  <c:v>49583.98</c:v>
                </c:pt>
                <c:pt idx="4">
                  <c:v>65145.3</c:v>
                </c:pt>
                <c:pt idx="5">
                  <c:v>83001.659999999989</c:v>
                </c:pt>
                <c:pt idx="6">
                  <c:v>118431.93999999999</c:v>
                </c:pt>
                <c:pt idx="7">
                  <c:v>110317.68000000001</c:v>
                </c:pt>
                <c:pt idx="8">
                  <c:v>106790.84000000001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644-4EF9-908F-30890F7AF63B}"/>
            </c:ext>
          </c:extLst>
        </c:ser>
        <c:ser>
          <c:idx val="1"/>
          <c:order val="1"/>
          <c:tx>
            <c:strRef>
              <c:f>'Données traités'!$D$13</c:f>
              <c:strCache>
                <c:ptCount val="1"/>
                <c:pt idx="0">
                  <c:v>Somme de Objectif</c:v>
                </c:pt>
              </c:strCache>
            </c:strRef>
          </c:tx>
          <c:spPr>
            <a:solidFill>
              <a:srgbClr val="8CA999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'Données traités'!$B$14:$B$22</c:f>
              <c:strCache>
                <c:ptCount val="9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</c:strCache>
            </c:strRef>
          </c:cat>
          <c:val>
            <c:numRef>
              <c:f>'Données traités'!$D$14:$D$22</c:f>
              <c:numCache>
                <c:formatCode>_-* #\ ##0\ "€"_-;\-* #\ ##0\ "€"_-;_-* "-"??\ "€"_-;_-@_-</c:formatCode>
                <c:ptCount val="9"/>
                <c:pt idx="0">
                  <c:v>30000</c:v>
                </c:pt>
                <c:pt idx="1">
                  <c:v>45000</c:v>
                </c:pt>
                <c:pt idx="2">
                  <c:v>60004</c:v>
                </c:pt>
                <c:pt idx="3">
                  <c:v>55006</c:v>
                </c:pt>
                <c:pt idx="4">
                  <c:v>80003</c:v>
                </c:pt>
                <c:pt idx="5">
                  <c:v>100002</c:v>
                </c:pt>
                <c:pt idx="6">
                  <c:v>129941</c:v>
                </c:pt>
                <c:pt idx="7">
                  <c:v>130004</c:v>
                </c:pt>
                <c:pt idx="8">
                  <c:v>125006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644-4EF9-908F-30890F7AF63B}"/>
            </c:ext>
          </c:extLst>
        </c:ser>
        <c:ser>
          <c:idx val="2"/>
          <c:order val="2"/>
          <c:tx>
            <c:strRef>
              <c:f>'Données traités'!$E$13</c:f>
              <c:strCache>
                <c:ptCount val="1"/>
                <c:pt idx="0">
                  <c:v>Moyenne de Taux concrétisation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'Données traités'!$B$14:$B$22</c:f>
              <c:strCache>
                <c:ptCount val="9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</c:strCache>
            </c:strRef>
          </c:cat>
          <c:val>
            <c:numRef>
              <c:f>'Données traités'!$E$14:$E$22</c:f>
              <c:numCache>
                <c:formatCode>0%</c:formatCode>
                <c:ptCount val="9"/>
                <c:pt idx="0">
                  <c:v>0.84857142857142864</c:v>
                </c:pt>
                <c:pt idx="1">
                  <c:v>0.872857142857143</c:v>
                </c:pt>
                <c:pt idx="2">
                  <c:v>0.81857142857142851</c:v>
                </c:pt>
                <c:pt idx="3">
                  <c:v>0.90142857142857136</c:v>
                </c:pt>
                <c:pt idx="4">
                  <c:v>0.81428571428571439</c:v>
                </c:pt>
                <c:pt idx="5">
                  <c:v>0.83</c:v>
                </c:pt>
                <c:pt idx="6">
                  <c:v>0.91142857142857137</c:v>
                </c:pt>
                <c:pt idx="7">
                  <c:v>0.84857142857142853</c:v>
                </c:pt>
                <c:pt idx="8">
                  <c:v>0.8542857142857142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644-4EF9-908F-30890F7AF63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963954080"/>
        <c:axId val="1963950720"/>
        <c:axId val="0"/>
      </c:bar3DChart>
      <c:catAx>
        <c:axId val="196395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63950720"/>
        <c:crosses val="autoZero"/>
        <c:auto val="1"/>
        <c:lblAlgn val="ctr"/>
        <c:lblOffset val="100"/>
        <c:noMultiLvlLbl val="0"/>
      </c:catAx>
      <c:valAx>
        <c:axId val="196395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&quot;€&quot;_-;\-* #\ ##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63954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[Projet_Valeo.xlsx]Données traités!Tableau croisé dynamique1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68373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'Données traités'!$C$3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6837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'Données traités'!$B$4:$B$11</c:f>
              <c:strCache>
                <c:ptCount val="7"/>
                <c:pt idx="0">
                  <c:v>Allemagne</c:v>
                </c:pt>
                <c:pt idx="1">
                  <c:v>Belgique</c:v>
                </c:pt>
                <c:pt idx="2">
                  <c:v>Espagne</c:v>
                </c:pt>
                <c:pt idx="3">
                  <c:v>France</c:v>
                </c:pt>
                <c:pt idx="4">
                  <c:v>Italie</c:v>
                </c:pt>
                <c:pt idx="5">
                  <c:v>Portugal</c:v>
                </c:pt>
                <c:pt idx="6">
                  <c:v>Suisse</c:v>
                </c:pt>
              </c:strCache>
            </c:strRef>
          </c:cat>
          <c:val>
            <c:numRef>
              <c:f>'Données traités'!$C$4:$C$11</c:f>
              <c:numCache>
                <c:formatCode>_-* #\ ##0\ "€"_-;\-* #\ ##0\ "€"_-;_-* "-"??\ "€"_-;_-@_-</c:formatCode>
                <c:ptCount val="7"/>
                <c:pt idx="0">
                  <c:v>89747.790000000008</c:v>
                </c:pt>
                <c:pt idx="1">
                  <c:v>91130.52</c:v>
                </c:pt>
                <c:pt idx="2">
                  <c:v>86414.41</c:v>
                </c:pt>
                <c:pt idx="3">
                  <c:v>95663.989999999991</c:v>
                </c:pt>
                <c:pt idx="4">
                  <c:v>87541.37000000001</c:v>
                </c:pt>
                <c:pt idx="5">
                  <c:v>94611.96</c:v>
                </c:pt>
                <c:pt idx="6">
                  <c:v>100823.92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28-4A02-A376-8E369C1A6B5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51744752"/>
        <c:axId val="651741872"/>
        <c:axId val="0"/>
      </c:bar3DChart>
      <c:catAx>
        <c:axId val="6517447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1741872"/>
        <c:crosses val="autoZero"/>
        <c:auto val="1"/>
        <c:lblAlgn val="ctr"/>
        <c:lblOffset val="100"/>
        <c:noMultiLvlLbl val="0"/>
      </c:catAx>
      <c:valAx>
        <c:axId val="65174187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&quot;€&quot;_-;\-* #\ ##0\ &quot;€&quot;_-;_-* &quot;-&quot;??\ &quot;€&quot;_-;_-@_-" sourceLinked="1"/>
        <c:majorTickMark val="out"/>
        <c:minorTickMark val="none"/>
        <c:tickLblPos val="nextTo"/>
        <c:crossAx val="651744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[Projet_Valeo.xlsx]Données traités!Tableau croisé dynamique3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268373"/>
            </a:solidFill>
            <a:round/>
          </a:ln>
          <a:effectLst/>
        </c:spPr>
        <c:marker>
          <c:symbol val="circle"/>
          <c:size val="5"/>
          <c:spPr>
            <a:solidFill>
              <a:srgbClr val="F2F5F7"/>
            </a:solidFill>
            <a:ln w="9525">
              <a:solidFill>
                <a:srgbClr val="26837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8CA999"/>
            </a:solidFill>
            <a:round/>
          </a:ln>
          <a:effectLst/>
        </c:spPr>
        <c:marker>
          <c:symbol val="circle"/>
          <c:size val="5"/>
          <c:spPr>
            <a:solidFill>
              <a:srgbClr val="F2F5F7"/>
            </a:solidFill>
            <a:ln w="9525">
              <a:solidFill>
                <a:srgbClr val="8CA999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1912787217387301E-2"/>
          <c:y val="5.6847545219638244E-2"/>
          <c:w val="0.94177142330892849"/>
          <c:h val="0.82326476632281431"/>
        </c:manualLayout>
      </c:layout>
      <c:lineChart>
        <c:grouping val="standard"/>
        <c:varyColors val="0"/>
        <c:ser>
          <c:idx val="0"/>
          <c:order val="0"/>
          <c:tx>
            <c:strRef>
              <c:f>'Données traités'!$H$13</c:f>
              <c:strCache>
                <c:ptCount val="1"/>
                <c:pt idx="0">
                  <c:v>Somme de CA Ventes</c:v>
                </c:pt>
              </c:strCache>
            </c:strRef>
          </c:tx>
          <c:spPr>
            <a:ln w="28575" cap="rnd">
              <a:solidFill>
                <a:srgbClr val="26837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2F5F7"/>
              </a:solidFill>
              <a:ln w="9525">
                <a:solidFill>
                  <a:srgbClr val="26837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'Données traités'!$G$14:$G$22</c:f>
              <c:strCache>
                <c:ptCount val="9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</c:strCache>
            </c:strRef>
          </c:cat>
          <c:val>
            <c:numRef>
              <c:f>'Données traités'!$H$14:$H$22</c:f>
              <c:numCache>
                <c:formatCode>_-* #\ ##0\ "€"_-;\-* #\ ##0\ "€"_-;_-* "-"??\ "€"_-;_-@_-</c:formatCode>
                <c:ptCount val="9"/>
                <c:pt idx="0">
                  <c:v>25390</c:v>
                </c:pt>
                <c:pt idx="1">
                  <c:v>38155</c:v>
                </c:pt>
                <c:pt idx="2">
                  <c:v>49117.560000000005</c:v>
                </c:pt>
                <c:pt idx="3">
                  <c:v>49583.98</c:v>
                </c:pt>
                <c:pt idx="4">
                  <c:v>65145.3</c:v>
                </c:pt>
                <c:pt idx="5">
                  <c:v>83001.659999999989</c:v>
                </c:pt>
                <c:pt idx="6">
                  <c:v>118431.93999999999</c:v>
                </c:pt>
                <c:pt idx="7">
                  <c:v>110317.68000000001</c:v>
                </c:pt>
                <c:pt idx="8">
                  <c:v>106790.84000000001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8F3-44CA-9811-3E4215A362BC}"/>
            </c:ext>
          </c:extLst>
        </c:ser>
        <c:ser>
          <c:idx val="1"/>
          <c:order val="1"/>
          <c:tx>
            <c:strRef>
              <c:f>'Données traités'!$I$13</c:f>
              <c:strCache>
                <c:ptCount val="1"/>
                <c:pt idx="0">
                  <c:v>Somme de Bénéfices</c:v>
                </c:pt>
              </c:strCache>
            </c:strRef>
          </c:tx>
          <c:spPr>
            <a:ln w="28575" cap="rnd">
              <a:solidFill>
                <a:srgbClr val="8CA999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2F5F7"/>
              </a:solidFill>
              <a:ln w="9525">
                <a:solidFill>
                  <a:srgbClr val="8CA999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'Données traités'!$G$14:$G$22</c:f>
              <c:strCache>
                <c:ptCount val="9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</c:strCache>
            </c:strRef>
          </c:cat>
          <c:val>
            <c:numRef>
              <c:f>'Données traités'!$I$14:$I$22</c:f>
              <c:numCache>
                <c:formatCode>_-* #\ ##0\ "€"_-;\-* #\ ##0\ "€"_-;_-* "-"??\ "€"_-;_-@_-</c:formatCode>
                <c:ptCount val="9"/>
                <c:pt idx="0">
                  <c:v>10169.4</c:v>
                </c:pt>
                <c:pt idx="1">
                  <c:v>17427.599999999999</c:v>
                </c:pt>
                <c:pt idx="2">
                  <c:v>20691.950799999999</c:v>
                </c:pt>
                <c:pt idx="3">
                  <c:v>22254.248900000002</c:v>
                </c:pt>
                <c:pt idx="4">
                  <c:v>28267.917149999994</c:v>
                </c:pt>
                <c:pt idx="5">
                  <c:v>36232.867499999993</c:v>
                </c:pt>
                <c:pt idx="6">
                  <c:v>48723.234250000001</c:v>
                </c:pt>
                <c:pt idx="7">
                  <c:v>44877.380799999999</c:v>
                </c:pt>
                <c:pt idx="8">
                  <c:v>44962.872400000007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8F3-44CA-9811-3E4215A362B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34993904"/>
        <c:axId val="1134994384"/>
      </c:lineChart>
      <c:catAx>
        <c:axId val="113499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34994384"/>
        <c:crosses val="autoZero"/>
        <c:auto val="1"/>
        <c:lblAlgn val="ctr"/>
        <c:lblOffset val="100"/>
        <c:noMultiLvlLbl val="0"/>
      </c:catAx>
      <c:valAx>
        <c:axId val="11349943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&quot;€&quot;_-;\-* #\ ##0\ &quot;€&quot;_-;_-* &quot;-&quot;??\ &quot;€&quot;_-;_-@_-" sourceLinked="1"/>
        <c:majorTickMark val="none"/>
        <c:minorTickMark val="none"/>
        <c:tickLblPos val="nextTo"/>
        <c:crossAx val="1134993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rgbClr val="26837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2F5F7"/>
              </a:solidFill>
              <a:ln w="9525">
                <a:solidFill>
                  <a:srgbClr val="268373"/>
                </a:solidFill>
              </a:ln>
              <a:effectLst/>
            </c:spPr>
          </c:marker>
          <c:cat>
            <c:numRef>
              <c:f>'Données traités'!$C$72:$C$76</c:f>
              <c:numCache>
                <c:formatCode>General</c:formatCode>
                <c:ptCount val="5"/>
              </c:numCache>
            </c:numRef>
          </c:cat>
          <c:val>
            <c:numRef>
              <c:f>'Données traités'!$D$72:$D$76</c:f>
              <c:numCache>
                <c:formatCode>0%</c:formatCode>
                <c:ptCount val="5"/>
                <c:pt idx="0">
                  <c:v>0.68746031746031755</c:v>
                </c:pt>
                <c:pt idx="1">
                  <c:v>0.70365079365079375</c:v>
                </c:pt>
                <c:pt idx="2">
                  <c:v>0.72015873015873011</c:v>
                </c:pt>
                <c:pt idx="3">
                  <c:v>0.66634920634920625</c:v>
                </c:pt>
                <c:pt idx="4">
                  <c:v>0.77809523809523806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F6-49AB-B762-5BEE7EA1C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5289184"/>
        <c:axId val="1985289664"/>
      </c:radarChart>
      <c:catAx>
        <c:axId val="198528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85289664"/>
        <c:crosses val="autoZero"/>
        <c:auto val="1"/>
        <c:lblAlgn val="ctr"/>
        <c:lblOffset val="100"/>
        <c:noMultiLvlLbl val="0"/>
      </c:catAx>
      <c:valAx>
        <c:axId val="198528966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985289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/>
    <cx:plotArea>
      <cx:plotAreaRegion>
        <cx:series layoutId="regionMap" uniqueId="{ED30CA3A-DA24-4EE3-A2E8-827BEA0F7908}">
          <cx:tx>
            <cx:txData>
              <cx:f>_xlchart.v5.2</cx:f>
              <cx:v>Somme de CA Ventes</cx:v>
            </cx:txData>
          </cx:tx>
          <cx:dataLabels>
            <cx:visibility seriesName="0" categoryName="1" value="1"/>
            <cx:separator>, </cx:separator>
          </cx:dataLabels>
          <cx:dataId val="0"/>
          <cx:layoutPr>
            <cx:geography cultureLanguage="fr-FR" cultureRegion="FR" attribution="Avec Bing">
              <cx:geoCache provider="{E9337A44-BEBE-4D9F-B70C-5C5E7DAFC167}">
                <cx:binary>zHtpc9w4su1f6fDnSzdWEpiYnogHsqqk0m7Llt1fGLIskwC4gAC4/vqXsnuxNb7uefE64l6FQ5bI
IgEkMk+ePAn982H5x0PzeO9/WtqmC/94WH55Ucfo/vHzz+Ghfmzvw8tWP/g+9J/iy4e+/bn/9Ek/
PP780d/Puqt+Jgiznx/qex8flxf/+ie8rXrsz/uH+6j77mZ89OurxzA2Mfzg3ndv/fTQj118eryC
N/3y4jTeN/rxxU+PXdRxvV3d4y8vvvnIi59+fv6ifxv0pwbmFceP8CyjLznhnCPB0Ocv/OKnpu+q
325j8hKnT9fFl7sIbn8Z+vK+hcf/ejqfJ3P/8aN/DOGn3/7/87lvpv7nZR36/Mu68/5plqe3n5f1
87d2/dc/n12AhT678pXpn1vlr249t/z/aRrwg6r7G43P8UsksRRZiuTnr+xb46OXVIDlM/Gb9Z8Z
/z+a0fft/9Wjz7bgqzvPd6HY/c/vgnpsKj2Mf+cmoJcpQ5KnIvveJrCXaYqJ4L/vAaLfRsB/MqHv
78GfTz7bgj9vPN8B9b9gB3bB/b1RwMDNJcIYIfIFZMg3UZAAQnFGYRfgE5+/noXBfzCh72/AHw8+
s/8f15+bf/f6fz4A9v6+e/gb3Z+lL1PCBJLkW/AhLxkXNPsjKqT81u//eh7fN/rvzz2z+e+Xn5t8
/+p/3uTXvY9jdd/8boD//6xL5ctUECwz/q3Rk+ylhBuARPQLFkm4/3W+/U+m8n27//nkM8v/eeO5
7a//F2Td16MO4e91d4EweQKcL2ACcP4V3xEvCUUyZSn/vv3/ejrft/7vzz2z/e+Xn1s+P/k7vP6/
50J/MMLiPt7vPlPJr+jQj+9+XiCw22eP/oiRfvHg04+/vMCMf17ZFyL39Ipv3PtcPz7U8bEL8VF3
v3v+H8893of4ywsIHUqwgNhBaYapSCFE5scvd1iWCSwZIxmTiFD24qcOYrcGmpu9JBnlDLGn+Epx
Bjkm9ONvtxDnkOAhzaMUcZb9QeCv+2at+u4Pe/z2+0/d2F73uovhlxcc1uO+fOxpnhnC6RNhFkwK
GIcxDv7lHu5fQZEAn8b/NaJZpsgPqXKk9cWYruFsi+yqt8YWcxnHfcUbellzP6rIhmVHly0raLfa
AqExvc0sjcXQsfFi6wM72G3KSaw+JEy/E23lc8Jblrcpv5KpnQtbOmWiPZ+2WiXa+jubzlL5RpBT
6zKnhHFrVI03885RLokadDkEVbX9p5o3rmD9FAqoiMpcJ+P2Jmn7TitLslNnmlalGU9VV4luL0TD
rtYhGCWmNhQG1ddJ0k9KoNkoi+dJUWr0IXZdvZe4qw/lYLJXbBhZ8bWjf2Pvh96tXlf1bzXTH7/+
67Zv4d9npv/nxaeS68/fLn6v1X74qcNj/1TFhOcfeoqbP971Z03x5K1/FBjPvP9LdfffhMYPb/6H
cYPFj+Lm2zLsc8A8PfAlYLB4yWQmob5LKctSnoLvfwkYSP2Yp5nMgP8inkFYfB0wwIkJyghmFPhX
Cun/t4Ch/CUTAKDgx6mk4Dbs/yVgYIhn8UJ5yjhiMD8OcQvk7ut46Xk7bFEKomod5zOToftUzjhv
IqEnGzEhrzmuL74yzveC9NsxCSYZLCwDWi8QkYAl3465TpsxmGa9kigIukNropud7+tpzEnbt179
eDiw/NdLfBqOIJoCHgnYAPqU079eYrdi3QEw9srhFV6uF52G/bpWtTmI0upaNWGta0VcRep92GLI
vkTNFxD9znox+7cpUIxgpwnjYOf0y/2vUEnPRC+ALE71WxzGuzo0W7IzjMU0731SXWUhsGmXhMrF
Pa+DfV9uTZ/kvBrGWo2ZR1sxoqqXgFl6uwxV3Zeq7DLhdpHYtFJUGG3yMlLW52wpJ6Rs5PWcD9Ws
z5O4ke1koWbOVJ/Ua5+XdZc1akU9QSeuckld8DHiJV+rFkzDp6jXYhqzti4Io31/RWLbedVp5k3e
Jkv4VVQr02fdaDW53CqeuiJp0nU98U1E8bqZF7CzDAvu32y2H+zOOfAENZiFh32cELxYdAgsH8ay
a/cL0vCznEv43k9Jb3e2L/nZkNHsppIrXB14xrnyM81GxfoE48OMOFryaOrZ5GRqYfKQiQACaYSt
lIJW95VbXLnXBotj60NiChaz8dwIKz8hWk9grq3RYT+Xch2OY0zL8q6TZeOVr+v67ebjdpMla0xP
E8JgCrwpU7ojHa+ac+1dZQ5NNunmPIpk2U5qvq7jI28Y2k56WY/J68XQMp6u/UTSQxi5TFTjqMFF
vwnd7nsq4D1Ua9PtyDZ0q2KyX9p89XVTF5YKMBTCkz4kiwFblgOHF5ehSuJpbBdMVAvgbQ4xULAC
H6zUx6VnybLXNK5zHrplQScRz6g9W7K5TVXUg9ZqlKsbdtPnN4yawSAj7Lgp+jAPmVoqreWJ2PBn
I2Sw6CxoGL1PepjslobR5HM71eE6LtK9D5uJYkfcUr5f6lnuNZfZHaEevMYg1h7XZB4uyxi7dlc6
WypXJuK+tMtFMF1cVdqZ9RKnDLJaE8yaHAk3MOQym6mHjZ2YSoapLZhYsk+4t+RmrSxmqhIZ40XZ
dltzXAfXtX+BFhjg4VvAQIRkGWcACYQSQA/yFM1fRSthrfUMRwQzjmF742ZhutM2ES4rZGnkWExT
MOl5X67OXRoj+uxqm0vMlWWsG85Ml3B/pCVp/J5OHhCuDBk46IQ2vZ2ycvY7B/j4EVcEl4WxlW/A
eWvZ702Trei9aHpET5z0gzsi2IC+4NS4bpcN01JYa0t65mwbtDKOuLuqGtePyWTokG8B6aKySA6q
zML0brKmnvYzQAbJiaxnf21W5F6nxtiymGa3pUcs09gqHpqSnjabZO84EJHqkIi0XmFqyzwaiCZA
1V2QFNbQGQ3ON9gU4odynFAIttVCDC52BdDAm9fZWT1NqW+KmDXeKuI9m09j2S7tqyB1SYq+muSh
xeN4Y2qMr0hViTpHIBK9b1t0lQxLHYpkq+YLp0O3r306pSqlc/au7drAFAdi1l+Xc9a3+6bpl+R1
oHSluzjTsTlHWwlII1KzmAOusX0/4y69W1BS7jriU5Zz17r3wgl/hToxfxgD00FxbkVZlHqDhfaz
li7H2UraD6gP7bxjA4dFN7SugYAlQI7zmLQEnyCbwHVPa1mMSeu40gOymdrWaq7yktDXU2kzvqdd
Q11eplXcVY7F3TbODR1UYuUwXut1nabXoRUwZpm2w3vE+zpPh3Xtchoos6pasu1odOwvbQgJO4q+
1bcZ67HemyrM3W4NpXlAbRyEWvTA9c4mDYDOAvnG58O2MeTU2nbWH7aJNFudb2Kj5ZU3yTR/FNQv
mB6lHEy3KVZtyB1XNLb9PrIwtvk4aBOuW9S792gy8KNNGOz9xAYGUK4bois1ZRqSBAy9Dmbvy7Kz
uySTpb+2AVN7PdAx2kO5tovrcrJ0kHdjpOBfmLco3CwDZEDIjGvfjXMxE0LnazSMnXnTOlI35xzc
HrwwtU+fVj0KI0Xqt4uAVXo6WSQBdl8jCW8utyXLbOGtSAPNG1eJbVN4Lvm0FVp21XjKbZmlv7Iq
qdbiS8JzWVond36owWpbPYE3U72595OeAPGTYQYIXOcRVt3RADcryGY3nesArMYpDOH9yhfWFWWq
+wIipefFLLK47Ma1kl3eTQyeT0Yf0aHPFmzfTI2HUEFuWU3Oxr4xb7NYe3s9p8y1t9DRaMPOtxpw
IwYBDmmk1LowqQm3mg2JPh1WY9ZiWKnIHkgqTVakyxjQocuG7jGGRH9qPJavIukdf193YlNm7DEw
C4yP1mK/T6pNvKWGWbmfeWC31aCzy37E6GJYm5O6atWAtFoAKPN68KYg08qUwdlBh+y0ISODsqQ0
TuF03EP6f0NXO508JUYeO6hFhqbKI/CHa1n1zTWkriQfW6GRSje9nFGLy7fTJka/syTR2U1KutuO
tp+Gvpyj6vXCD6iJ+HTcpk4C6xjB/BpqNkDjJh8km193GJCw0aT/SNoSK7ug9Kbp2xO7aL/PKn43
GakVVEOsGDf81on+sYU8d5ENcShqhk+SZQ4HyB7ladaNH7rYXlHEIZfFuS5QmbxOjDRqDtlayKed
AYagYiKGo19lMSTLm1nHg4sI6GKt61zoObuYQhnBH6bD6EuVrBrvZMBapWN/mXUdIKsQmVvUWOlL
aeq3oqU7zbYtbyoSd1kvSmWNdu9whWlu7duOrWeC0DRHuDqOmzikqB6OMfWFTy07XeWwb3x5vgHH
VoxBMqDjdlb1odlXeGsPrGzAQ2g8o7EBABvNK8hec+F7CNcKcjNxAKFmE3uAKX63ZestbVKhgGQO
n7IwnvBsHZXut/OynH51W9LnHpiPGgYWFUnTXmE7i1xK71U10sOoU7VJUdB+LCpCPxIhTxPcnHSa
UOVCu74vLQgFQDxhW+oZITWhbu9wck5MdUul2UMhsikvV6O2xQM7KEU7sGLVprb5vNXjHk1U3AxI
JlzROFywKj1WtpOXY8lvkJvmvG7Be0o53k1TdoNMnagx6PMo+ckkuqCkrS6JLgGqF9nmFTOHyq1m
Ry1ZTzFf3wF0zjnidu9jNyw3PEBSSmynTxMnP5gpLLNiEehazqYUbQoBFiqIo/lGigUrDDiz43Nz
g/0GVLOKaFA+hjjli1i7+zluAEOJy9qkcMvU7PTGy0aZYRp2Lm3mw4Q7fjJ3qXmzonJuYZKVACP7
GUgbS6t3ct0qiIItjCrBo3ZFTUZ79OXibruY4Xs5tNWvMnEuzdPMS7vDqzsHlFivfHBd0TdcvMtE
h49ss919XQaP9229QlnRGht3qwNrLb4qqozbkyq1Zau8oc7sxoGI2+DGxKjazLVT5caSXZhlvysh
N1zUlW0AB6utKtAyBWCCEZ94VGe/upQMu75v9I2FMhZSgp2mfbqs6dWI5T3iQ7MTVcIoiCJ9Yw8Y
V336gVsZ8bmM8JgSY1Uh1QIxQCoTkzu4dBrVHMc0r7akvhpwtXySgyaF7Hs75D3UkXdcuC23pDRp
PvjeVsWIeYByqByI3rGSplMR0vKp3EMNEGXYRnGHTBMvW13NY96RGol9hyy6qdq4zEWCOlg0mcuk
qExILtutToFeOZ8dxqmjKky+vmoTHA4lmbMPEk32ZEMzOgprs1xmFd35EGPRQLnZ5OnSrpACzeJU
o5sBYDYdgE1IfpM5Hjq1jhst0pDY4QITqfOmnrJB9Ta4Pfd2eD0M63ZC4OqSi7LHp0gvpHA4WMjw
VTU9YMHXAw0Gvxscpg2gX9NseceWelBdM9YnVW/YuzCm0862YyT7akpkUO2g0dtslodBcqN0O8ST
kvn2FLVoMconAC99KDnUozO7wGbIjhUU6q+Bmd/pxqMihAk3Ck3hxI6uu9TQ78hjB3UPQOCBV8SS
wtME3/pQkh2k0y4fys7l27DMB4kxvdEN0ycMsPIkDsScato3+xJIOiCf5spB6jvLhsQfupFKIDbN
dBr92CmqbXozAa++Gf04Q1Ia0rPI+acFLc2pa57wdhBTOapm9P3OtBlU0LKv8IWxIzpCPbNd1kQ3
bZFIo9GuKtv2YRAhtDsTpu5UyKm73Ba5H3tfHjLrO5vX2xggtGm02auYeGBTVWrKA062WIjeJB/W
JtTvkA8elBPpmlPQUGV5kk1YFotrhJJJ2+SbT/uzkLUoX9xcP0L6DFiJGOdDNi/+uII+eRRpKnM6
zwxqPT7fAPSMWkG+4YcauRU4bu3Hkw1PzWFKtlHkLmhfRJqBIhj0ciwbm+wN2eKbSGky5dYk64kJ
yJzFysR9S2b6XkJR0z+yvkwRyJypHM+mdItXNsj5rYMjF2zv2jT1qmGJm9SalfG1mAZxQX2Ggbo0
0yuQtlCttiSbD6icQC0SS9Wr0IwA0yvb+k41KCy3M9SyIFeOov6Utghc2rQr+bXKMM+DTyubo1XS
fGDezfsxabDOpxnJgwP1c1TpIkQxDa3NBzqtH9xMnNlLW0917lOyXKVzIujRVkL7kzTyZlaLqfrs
LGz8polbzdViZe8PfvLZsca0vaVMsrxu2nAcLV2OXdsYFXphdk1mHtwQ8VBsEU/nvJdJksNQw02y
rPPR8K5U0tNmR3TslEW2grK+mvF+Y6G0OZ0A1PtkwL0iejVrPpZTxXYTMJvqqobtr9TsUpGvBvRC
xUltFWVDqw9kzEhRgmee0Izfh6lfX+k0NnY/zybwAmhXzFl0zcVcdslpBKQ+H+uxzsdJvy3TWp8B
quMz0W78ctIeKw+oeZBiIPtp5OUFAxS/4nOX7YjQCeT8Sr/h89Dl2bDVu34l9cUEWl8RDGUPYtzc
HU9ROF98M90kJbKHrhdvDG2GU7RSe855273xyxD2m1v0LqIqHBLW9SclIb7aAwa5wnbj0KgWpU45
QeYLGwmk6FWiftdrDaR+A28esxnAaVhebdOSHniHgGLofqh9UTdlGM84FI+7eh2mgjKMndKQ7A8L
GaZT1E00nqO6TPZPsutRdGm0OYRMcjK0c7+nvluUoDA8DKqBDDrpep3Tsedv0yBYXnZQY5sKonbk
kUAS38JTBYmtKhtYsI24ui6XNN23jJCLZuiyt1W5bp+MTDKvIkLbVYv8FRSLQeYDzHYnm4nlaGrw
pOyQ2HyJySjPSgO0MEljj86E6AwkHMFgt5zOvfbbq+gNL2IHLP7QzIm9TrN+kiphlYWPRgcAVnFZ
UZVRXB/HZu6X3GfLtiODiflcNvrj0G/rrh2Z2681CHT7uU3quO+GlE55z8mTQ0JJeTZnc5YoB2Uk
6IFddrqGtlRD2ky5A03yihHEPqTryF+v87odmxBSq9AYSjXpka2g0RpCVAXFhFa1F1O1Mz2yxUJo
dUcrO7znTRVV5xl9hek47PhalafQaNXHziEKDhma9nacA5Z52i1szUEXlJ84QNEtQtljWy2QdacK
+G5NwkRz2HnJVQC54G6thNeKGEcfPIrQrImQ4IAGNFBrLvUCtWi07qzeiD0NXk/7xNdDq2wjqt0w
oCpPtNGzqkLs9zBynVuN24LEslLMj7RI+BjuILm1p2H29HLclnjik6FfFQKfIfkyd81raSp70dBG
37bpai/ZugxqcnED64uzDLblWBpv9wNdF7wrUzsGqHU8EAWPrPnYhCbsp2bU9GEdqb1v2qSFjV2z
D3DGbDk67tzBdF1/irzUfJdJb7AK1uoVcnE130RfZq1q6qxdTscJ89dbNpPpxJHY3cUJNj3vAcfO
Z4sSraBy1lDwAZk6s+uAmv3WRIkKkGrtgQz1oPM1Wn1jCJQ/u9KS9NcGV82Ygz7zpPduLlRGrSY2
JxmxG97Dobrsw+zEPJxbPm9ZLtZtoad1qLv7pluHe5S025sFjZtVS59ID2EEvBSsVyf+YmbdWuWT
tS07s3ad960R9V2dOiA/kENB1PTAOD8BOQvgqFlNemikJfqCBFSNBeUQYgtt8XtQolClIp+rs0zT
8m5os1vI3wgyxxz6j/OYoTp3nRw4eNYa7i2T5DjX3ZN2+lnL4s0EP7fIdQ+QF6b6dE6S7EZQPLkC
0NK/0XY0oFbV1NT5APLKyVYPm8+jdtMxEduwqzGab3VMsp1uuQf+KHF9NzrRHE2DW5z7klf30fUg
IvCkxFAjlVMCusIyO9qcjlR0d1NKWr6vNwxKWhIzUAHsWi/VDoP+H5WMFLTfRQv4PgCogyRRM1Cs
Yov1rwtrIMH4sQfVoZYd6E6ircmSE8+xO5ZBRpf3c+0f4Gkg/XwCqoFt497HOinPuuDKGUoHY53d
QdUGL3EcUlSRVAOa9o3LGDD7NTQ7Flr2RuCw5ZCZ4GMQkxScV04bxBBtTfuUseC6+awx8SedhOiW
ngpRHauqq1YlTUqaU11y1DbKzh6ytUrLdkQub0Fj2E6aQBarc5ABXX/VVgaMQbDZ0KrqLd3as0ZO
c0aUW2eQmGjmkm2ftb1NFAjkVbhONwlSzCoX975jHGzlqIRXzKKE79i0pD2D5hnq31DSBSKg3KXN
G/+59eOjE/Ek1iNkocQ0K0xwmQdqLwI0Z4cPbZeB3NKWoKb+JtuAVgVGItGA7DO2HuT+2iSaF92Q
lf1OtnQ2J2hOQINP+WiWm6Uc3PuEU3jBFzX7i45DobXUniVJDYL7HBDsQeoqWFxKFzCl7GdokQRe
4fSw8m0AeWv2Egw1Wg9L+qLxR9gnUFmd6/qrBMMRCwWiGm7PBj+04X2TgcytKldu/RtExma5AbiE
FkVAktmLhHlwyhoKdXvRrgszPF+FGe0lBuhpz6fRjndA/EN826VL6d/ggDa3n/usf0poVRkPI2LZ
kHvh4G1t2GCifu55cyk/L1UIOUKbJJPJkHdtXHNI6aG7ND4Aokwwh+VMLHUvQcOiT023lJYsnxPX
jTud9rDEpWEwfULGeQGC5KuDHqFd5wNrz5MUOujeL+ytXgSBKlWYk5bjve2yrb1l5TSn6r8QgYbW
AoK+6mPJM9Whtdwg2Zngrtjc4f5U9IG//3FbMf22S0CQkHBwiwkIdDhpAGcNvu0SmLkiEmkKXkvo
cNUtVGMV2yldoK2Zeb2neGxj/uMxyb8NCs9KQlIO/VFoD6fPWhNApuFUBZAnOByQuPeg1E0oL8Eb
Hj2UdwUZN35kaxgGJaakq6Du6ZJkv4LIouJsh5tmbo3L5YT4zpBuVN2C2v1KB/7rMIs4F9AzhNJ4
2Bwk+zXSroPCJYo3LE2m19mAn04XDPgYoQPnC5ka/1fNl+d9UohL6M2lTDx1hik0pb+16ZYQhyF9
QHMIVEzw7d6fVrUdikD5cu1nNl/QbO5y01fD7Y8t+++GxZQiCudZGPSKoSf+7cgDhNqku3VTkyFA
LG2TnoJCXD/W3EEBIaEVbv5iL/HTUZSvjqqA3wBp/XyQBigqRk9Hc75uM/lOh3FqQUbycALkcmNT
NyieyONiNu7UUEpx3tohu0r45I6d8FKBVh+qHI0iJPsk9jNWdU3J+BcTe3aEBuYl4FwP9MzhZAJ0
/rNnpugGT+wACV01JVmuRdsu16b2QBc9MsANfmz3px391ggCMzhiTaiARhvE07dGkGuZ9n3Ao5pk
C8VVDU3SMZdLxU5/PM6znh7BKZwAAJSSsDL+dKT42TiptY7ijigdNKTNCiT6G2hdgsguWJmgHA/1
pREjwNCPx32+PpxmDDw5g/EJROzzgCUzULBSzNA+aiSYsEpAvSl6IJDXPx7n6czE13aERh3UjBhL
LjKMoIH57fpAumBTNL1XjCbZ21ri9tEg6oeT2kjeKtJlwA2bDY5OnZUb7t9F6HV/+vEU/s3EUrI0
BX9hcHoSjlc++ftXbdNNriTp2hS00Vks1/0KmRKquewGEww9RsrXj221gg1+POrzwIUVw0kYAd8p
2Fo8XzjI2jWcrYUiq2PCnFEMFAIOIzx1j5rOv58qPeHixyM+jw8M64R2pITDbBz6w+LZkZkZWvJL
a6GrstVaXi1rObuiWuijXD30i3481nP3IYgDNGD4IwQGJ9vgtNC3Nu2gByzjYgZVScj2CoizTW76
6Lbuw48H+t7mcbCk4BjauTh7tnn1WHXMs2xTy9bbD5yXelCsbuCCnHqnMi+Wj1/6oz8eFxr6zzyX
IMLg6BMXjAL8M/rcc+u+S0OJZ4CX2FwhFMJxZcj3yq5N53aE9elHndnlE9c9/siTODU5MSLch5rq
uEvEOnwkvfFkB61ffmZBpF8LV8rmJmsn+sZ1WXsuFxAQlIbO5VsJrZ37VhMUi74UApgsFNBwgmZa
QSvQ2s0FqaYJ/gpIPHXAtVyOHJyvL8gs13vKpzDkifm/1JzbkqQ41qVfaGgDAQJuwc/ucco4ZETe
YBGZkUKABBKgA280zzEvNsur2v6q7Jrpmra5mbnJMquMdCfcddh7rW/tQLUXQBdQcRUdPuxcB2q/
RsQdYXXK/N5FGa5RzzXjr0ORi3mumkTlRVzSIBPxPvuthF3A+wTVCK1aQDsVWX2c0XYunwWZcQxN
db6OJzusSQbFWprgAP8aLUyTtPNS6iXgA4yfayle6BH/X/7WvwUxru4bgXI6v0+MxyuwfuTyNpyH
+kuXsQgeyWrnUJwWWrf5dsrnEWb8IgTKSjIJvKZsBgIepljv2RSvcGnzBN7vOuKdekj4N8poke/4
muAgk7YN7ia4bY/ut16rYXote9giP9pZXptYXoR3Uypm/CJwvSHreJSERZu7fdr1iapiCZs8kuZn
38ephMlrGEpnn4dTNWXY95cpbSEKpV0yb0Y9LslhGKWHiBCk9VfeSJntvFiKg1tZ/DqN3L6kOYCh
TR7QdDwFQ5yepWYJq3zT5nwri3za6/Z6Ms0g7w7wgnJa8aEG2eLbZE6q3Fmjz1MHKrQYbXr+/U5I
0YBrnGt10F1+77vahMvpbWzs9asqcqA+I+PArH7/eYitOTuHPM3yC591nlwyqAKvLh3iTZZTNx5m
vxZ00/VT8BZAAn0CWtuhQUvCev0Gl7k7yygYBESGQEGYAr22T32R7qwv7LzrC1eLKlyXpb5pJTSe
nRbzpLbwVIW44XbypuodTaJNCr88qIAYYjH/7iav2uORpZzZuKcihyjUe1ydUJjGJiw19oiAyH39
clvN47UaqR6K8+Cd2/+28/9JPf8Ti/ud3f0zzflnuPP/iiX9fxATBSz0p9PvL3j1Yz+Y//Hf5R/5
wSsp+tu/+ScpSv+BUxAwKDwBQEzRlQf9nRSN4n+g3k/QcUCaJgluuj9IUfoPBNhw8+HuxY5AdfNf
pGgCUhSrGLQ1KlqSRyT9T0jRCITpr0f1tSQnKMwhNhb0Cov+yyWx4gkMXVJISGMoXuJ6yT/iXAem
VHFBZVnAzrOACI3Pt1wW7bjpobYPVbomMdQDLu33ySg4e2mhh0PjFxJtY5mR2zDxwJrnNGHfJyYb
GK/ZGtyOUWP8AeUTI5tlnBTZ5zERUwmeUzPI4VAFRcya09TWU7mQeJ+MxUT2sun4M8vnaNiOyTA3
UERVDZcxGet3aBEFNA0o+KBBcbKOpYH0PGxW8HLxhtOMAgtUA0zuqY/h43dO2Ak4Xt3dLWwK+nJK
4yk6NLSWtoxljEeXLaEgWZSqiikHkwb+Q587SCWqtMoW364kylrWYNtkZYa+WI+uc0xWQx76Hzqa
HA7zeore22HgNxCL7UX1zlyyaPC+BEWhXTV5KdDArU0EMy6KoECNfmHBOQ5Qy+8zNBE4m+Afkq3T
cn5tGYsCuAvUsIMqxsxs1Nq6V7Im6kssHYQ2tYShKz1sp9d6iROBa6DQr4KlyVsWsfQlY85+61Sh
7gC1mHkTOWpFlYJ0CnbjMDTw71x7G49FxQ2kTgIUvS7Ww5j0Ja6THPjekL8UbDoPIKbiIBalBK1U
BGGpxuAuq1/RUuikP9fQV2vPNk2RHPAUEK3hAfHjhJNnW1zdf7LjvXvPG/kQRpfBQHTN169r09ED
gWp9u7Z8UzBVkjSoZiKybRiLDzSRz3nNSZWKpRojdZd6USm/3ETpjBNvvXPL8hTWxakJopd++mxH
e6/YS0/5Z6LmqmXhK1/kRRigCmt+t+Dy7gPXlbw+Rgadgk3ifd1Mr6rrTSnbW2X9XicKZW5aUptP
ZVzIvYLPG5Fha7PT4DqUb4srZcD3icVtltfNHpr1Zc2F3pO427QoUeYwR8WQPYZzfmzrgouSzeQJ
ucn4kfbr8L0Np2PssARz69ymyXo48kMcPdUm6zcyibZwzLLHLoVeWY3giYAb5Cm8p8gHrzTJgBGo
5Sfp9A3N23vELcezTCeI53ayT5PPYSt0u6VeTg0z+jaDW5ewrGRGHefiognf5MlyT6cQgOm6WZPi
axG9h/7WJ3nVFZsoGSsbfqVRuI1q/7Xvkq3Q+E6ztCT1vSd9ufYhKOVi3XIyP1IxVcEiIJQgPxEO
WNrfaGIe6nV+RH+/C2Dej0xjsUCeF25j29uepru8UFWYsbupCCoclpukcLtuVjue03PehDtnZwaJ
88z4Uq4y2Kk2veSAW4upqfpQHtK4W7YJniUZ9WGYh8cleG7672Spz3BNK+ZfCW1R76rvGTTgkJ85
LlZsWbSjBx6x7w3N8FjNNvNzINFHmrcmQUqD1VXWPNoielJODvsmKT6CoHjHqjsb4bE5GgNcjcBk
7h5skSwV1+opU3BeQutQPIi4Asj9IFy2q6mE+kJtXKbylc7zxYD/yz184M61OzGP5DiDtTZy3SfB
7Da1URuANAcK2qSRUbW0pKK1/UwX36CSWwh54DpFRRt74BGsu4czv61tf3FCgYHCa/e23tcoxTZY
pWIX8bQ7u35xXxzexirzlgUDjOnW3PiW3sZr9xXS1H4w6NEzEuynDjjdmj+K1VdmsjuCiMu63gHn
PhX9uhv6oBoSrGQz9bdhzz+KJi+naF3KseMpkCXVS1nikC92KqOnzmi6W2vs4uk1NtE3Jdwhk6J9
lFbtE5BXiYgfxozfheKS8vDCunw/mv7JDRkQKw31r/OZGatR6cesNV9IYI9JPm+j6T7wELQ5+2Kp
uWjVneT8boyE5D4t+hFNzo0JfiJz8exj/YXYU2H1Dmbx8zx2mxFWjagBhsx7Z7u4RIfgzmy9ZMOV
jMC5HLX8bm3VZW3DS5/6Q5JgY1okDNRDA/9uoMEFbBPswdueHESsL7bJs6oDxQlMW5SJYdkmawmI
ojnbDlkIH8XbAlRGYTTZtWoEVjV6HDU95MS1jXcLqX9OLj0CZT+APIO6Lwv9LlKKDJPJD9mo7nBN
d3Dl165Cxf6cWFGUjcrjtFxT1m2HjopqsnvXAgmdx8vcJ/uUtyXuWViBfE4vU/1d9+ElsrrKJVBQ
I7awcKq0dVsNKJQ3ZL92y4fi6SX09D6C7kDidZdYt0vHHufxx0qOxSrvMneXB6xcp/tQkI0Nz0lu
APNOm2hsDsUg6g4tUdK8x+scd2Vg9VAt3XTXwUBael0Bh7bvfJwu2gcfSTv+FDw6L76jcCHWjacJ
VEq+UzM058gB/RNHBSB2YfTJJj35mtuIVSS7BLKveDfeiUUTRAxi8bzo9C1fNVBm+l1lASJV88eq
F6jzwfDR+ZqfkOQoIXJc+zC0ST7ZxX3ByloPr/C17Gbi4T2YLLrx630RHdGDlGArsLmGTQCAd8QN
5mN3iMWKU5C/c6rfSZ3gW57u1pzckNkdFA7zKBrWzUzRCWXswopgszBbHFgWbgNTVGnIX3WQ4Uvq
Lsyq6CHo8fL+JQxBeVYuK9LbVbe4/FXabgMAnrqocJe6g8xT7M60Q3nTHzw6o5rlZ726I7Xpjcv0
zxQ3XBetcHAVuYZKqtTbw3C9VjtU9vldpL8mQgC7Gp9XRwAWinLNffEw1/c5y766tjuqotgJ2MvO
feQRn5DLcGcVjts2XSoop3sV81NbsKd2gQFEnKnE2u4WMHTV0gBH8tJudRt+LYr4u9ADzjHER/R0
iyBKyQNsn2E+dj7HMo6BUBfLD0ZBTqQpv5ny5TTM7L4dU5AkSTdtrI+eKPiPkjYmPtorySdUUeZT
emFxfYzBggCbwfFRAVAPblr8fjTczF2xXyIT3jONaz8G7xht1/bHUPcUdzfdMIowTStw7rp3YDBl
b/BL+se+ZTvVpZXqvsVg/5FkeYO9A/3Sf8kpOlr/LZ4hfK0OFrB54FOLoM9Qye4tBRvrVlK2jt+q
HNVgc+lnXAdUVmF+gOT/Y6HsQHDIdya69AMqW8E2HMIzwi8VYstVNsW7lMtdKqJtNFKYcO6+WNLt
HNRV3DXlnFPczcMLBXfT8jdwHE07gV3VXNzxIMI9RUpQxjvmPRjTAZqkn3BMDLdWLFkOqHsm+Nro
KW9YUyZiYgdO1LEl4cYb/KL+zPPsVav00ZKw/pqOuJOb9oDK5AAXsqwJcmM02DYAElj9fUkmvxHS
7Eb2w5Bks4Io1Sgmw36qrhesiz3aWV9BcNrK2pQhpViiM+67cH1Gb7RdY5bscv0AWl4Df/J0AyL7
ak6kMIlQRs0qvhk78mLUJ4CJvR/uTHgW47wtarkp+qm0bQJr8yN3bkubS2be3bD1oFTrCah+EO0F
RfvxCTT82Im7aWxO6QwqK+zZa4Qy+MHbeP1c5nGj+nk7pG2Mb69PSzawbczQRnSLRD7T8AzNwmus
IlS68p634NAUmV+4VeqIuS8V4PSNxiuXjQ+TjYyWoczm+BFKKYqijezUwYLuES4Aa43o5tCm79kE
C7koEemSzleFzX5MAH99ED4hpwUzYoRToJoZl3I/4nyD9bsgGlGu2fTBQVg4ELjzYuyDFACMFO6T
OtkByDgl2WeS+28K6RSPyrsDXWmgcDQ3PkoPHPTHg3QLdIUzD8ingAc7DcHG6Qb9C6ocWaBRCAn2
LzZGXQNETNYqC9UWiPj2WsoQikQXXXdLQ3ZWtU/c4fMHWNG4D9u7Q9/GNzAS9hkUp6lP90Z/slBu
Uw7ksf5eN/Zuju2OxbZq+6Rql75COPjMsn5H4X20jdxF5suUHYT4gmctoDMhjdaA58ElsvSQ8wtw
HUtUDUTewAaGVZgdANLsVvMzhpppiAeASG8MCy85zsHbRCz7NEZviWBM1A5VK6Cz5jEosCaON1MU
PHjavEdLAEzTxptURx2BTsjnSoNo8UWgyxWseLyCUMzSS+bSb84bcWBtdnBXthzJvHkTr8FdkS2o
ZECxRu1rn33pc7PpG3gOXbrJgkCVYdrr91jC9MnyewwHqkR3ilp9X9dhtjUIpYRlL5g8yV5vciZv
4hGhLEi2VUT9Dj/4c2URmHPI/PFGpGComy68rdmLlzgb+ZbH/VhOqr0BNlvFToCLSaa9aUKwniSL
kA6w35ocRzWR+rCi8hNogFn43nUtdnfch1v4xxCnFpQzsXwi2MACrYVHyGBjI/QtDTennqDXQ+Ny
IRpba+b8wEHWHIp0MqVO+0fh21ptaYB9maMVRUwx2qxC97voeiWEhf+RdVNXDmOtT5Fd5zPJFgQ4
2BB8BkWutxyweNep72qq9zEBXoimbF/YuNnSq1KrFDsjcZdAE4UiXI0dzo9cuQuo/W2me7k3yy6i
SEovLj6na3hMlmLTTfnNkuivEtFF0QG/zQderqoBNARllhTTu2BmnykCats7oKutgUwIKLNYUbev
x5bF5ouKWwrvGuCGLbPs0I9iIzWc/Pwy14kpM4pUK0rPRIb0yMeHcdovzUi3pkb+dTiCufq58uP1
+0OWIoeCWUJaRGFCdAs3EqWMg5tT1FM19/n0xpUy9srBzT9rktTk4EEItggPhrqGOZvmomw70KAb
Uo8hLQO3AN1fIDdbFJWDR4kc+eRuGQRapR6xTnwGEjhUgYxYfSsBc2ocGJG7mT3FZg7icDohQsNI
JVCSvtZALNiBpa4O93SgwDRnpcY75AnHAMHGPrrUEimacsbm5aUFshdsXeQRBAFfh+RmuwAWJeCO
vyFMwuhxmuNCozuIE0TWhwF9D3Ls0QPqIbS4fjXoKrtibV5bwa88OBvWbUcRjLv8t1UMYT11AUMV
5PSKbBeU56347c/CGrX+7sP8R2Ll/1mq/W78lI+z/vycb97H/x+i7QVUvP+aWfYXzfKP8SR/miJx
/Se/S5YB/UeUw9UsKLQ/YN2/BdV/1yyDOMLQhyiGaolTNEHk+w/NEmPNEigXGXJzsJnDGBbaFVzA
pIg4/EcIH4hA2EgTAj0z/080y19dUbwDDHaAGoSgiiygPoS/2md2kD3ib21WsanLbpt25Q/I6agd
AEZ+EhLBg3JMEoCQsuM3mP/QPP7ps/qnxP3ncRTk+gZ/2LJ4gCS6Tq6CXHr1uP/iiVqYArKBnFvh
SYPnYJqDcl5IgneV7ggjRZXj4EGMJvPEb1MRQJF0gS5wdhmUs0MQrGeX0vFFePpWoxHCFeFi+0RY
a9Z9MPap2WlgvdLR6Xd5/n8fWv/ro8OZjwEoXM05OMv/Yj0q6gcY2oOvKPVOHHzII7qb+JjgKPEk
e/WKLP2ucAHExrleCT8OMeJtZxyUU139+8/xVy4EHyNs5ZhA5IaIVmSQu3/9HhGVnHpFHEihNA2g
jMklogc6ILIEfLVL4BVKRtoqYrzAVA7w8cPfPMBVev+XLzIHzlOATSkIcsHp9e//ZG4jj4livEFt
MgBFRDdvAGGgG1g66E5R0360+ZzusihpUV52YgVrOhlTH3QhkPtzo+DNaUgH43e4umoPRRGhk21v
mSr2CKDy6UxCa9XfONXRr97q9XOLSYFtGSfYbvj0sG///NQYtNDRCPRapdIGkZ7GrJKh1Cxc2SFE
gcZcDQijnUJcVMG9gMYCBdcsgwPLuwwUjiHp7dV+6gOUylGPbixoFZ9f/v23+796TOwUCiskxTMC
IPj1MfOCUw7jC6VnWHQQStHhPcIB7nYjhGoALwRIfqXJMpBDC3m3uR1XB5DMIYlZA8REjmQ7rTpC
HSlVPkOaiy05//tnjP+yHTC+gWLMAAY15hh6g3Ppl48Sy5x4PZChKoaU6bteoQir2mZGpGTxFtBB
OvphJwyuUiiEIlcVzXuzQzVCsoNcRkSXmG3z0wqz8WNqrNolo+vsWaX9R6vaYEDOodNfhhQ53gqA
kglAGQZBstGBrUMUWwWSBAtthbnTNgUHr4GJ1c8IftrnrE7RmIRLNk0biqgl+7t1BBvr19UPIgBq
QgEnCY8LjubXXz5beyL9kvUV7NkRqdWcsAUwbYjK24ZAOMuhVj2pEFZBJ+BJ+LXJTXzRs2YImg9U
1hViPeTv5mpg3sO/PFeGkxXYFhZPmpICV82vz6WK2S554jug3EOfHSOQlEcLphqirx2U/GgxBKgu
s5rL5Qz57Igw6YB+3MY1hKP8vpBhzcvIOHvMxh4JfRPsYD7olyVc7JOPi9dCpgjG19zCtBJL1ADG
HbPtBCARITV4QPwaM8iIvONRAicE4rY8aRj++zhEU5TD5HkajPwhZY04d9Y/92ylt15fAdzQI34Y
1NCX0xDuSq3s1odZNaAefhwzdEK69z+NAkSOTNU3F2rMKELqajzbADmqrRiT8EAwLmJDMi3OOtd4
kiAMgf7P0P2wXJofnQ4QOzQKz4ulmkHHCh3AhICr9KZAUGnngT6ggVyWE/zdLytG0uwZsLwDch3j
Y0TZ47SOUcmwIg49sLSbxPVXthAJ751gCok8R/P3QPURbJO4uakhz22Iruk3HKWnKdbJBpZlcfBD
yA6pJPLk1DCBKc46VroZXXbVpwxDHhCCTb8qylzVZcEj1FSoaSAIjn3k2R6TGCDC8Ewj8gxQPZut
/QLM+rmoVXdHRmhAMATRkAXKVyAk9gGXF88CKBVoqr9pk0DMEGGr5FViXcNTatH9nTDAafl0i1I/
xAxl003bPJ46NKauvw9yxLdVXovHsZm/cQKjIVzkZ4zoCXIeCtnMjevAJGKECl0fAEO2H6GOEDx0
62zSarR1+3MCN/9DwXm/h+ZPv2pX55+jXuWMUQdoQyi47NukpXw/TjeoOzB0YjnSbJWHBoVwmYby
HKZTcRwjIg2En3XcJgDNNmuICTeb1jVZKSjjD3ae7ZGtGirXAIhjb8GA3RrTgv7OqE6QyjV7auxw
jCeIQ4Ef5Z4Y2rzEvt4zucbnltUWSLhNEKdtgry0AmrwYhp5nA3rD6sfDU791AzPozLfDaZVLPjS
pH7Po1R/EBsTLFCbrLucE/mYzkW7mUmPyVUWlU1XrbAL35G79+h6gqbkoHOgy43z1yDLYNEFArHw
63Rf+FokCIfK0NbegycO5wrBwBxWJRoqcCGIMGMndXLadY5mGvkDx/cLRuiUi+CvDMz1Y46cBGRT
rz5wsHYHmxD1rbHXBLqxtsrDWpeRbw0oZMxCKQWnFXI6wZNqod45n9Fu2+QJ8t9gPRHYR2jxOeXo
mxrNcJbT30htRNePQi3dxXdqvWE6QvQ1RQiBNPymT4OlLGD/HCTSU+fYZLLiLkz2yi4fI2CN54hg
xSKJQtzJQhDeGbhTlRBJf+prey+seZuXxOxcmOtj4fMmhfBH0+1KIvs2rAhtFKauIQd10UNuk+YL
m0xwJMZKKOFe7rXIisOEDMCTQ+Z+2oisSw4oaq4JfP7Swqk+dJlJ4SSYIDsyHrOnPsvchwlo+zp7
0J6VnERbimwcbr0BgB51M/5wje7hUXv9A2NYEAXN2la+zZ03Bw+ascSH5A+1dpj1MWNGTgKJQPfP
3eoe4r4Vdw4E90exshke7PwhkvSzUMp25RgHzTnWIZQBODK3C2nNT2SwQ9S+cYuQUsKKfd0GzQGu
OnRpTKxAa4rQud3UiORgVsYinoGi/9CcL69ww4YvIhLIaPdxfuIBXPNmvX4IDp/jd9Ha9Zgh31J1
IdqVTYaed+taP1csRReJ2yPxexY1SGIkRXyISMBduRpIeNtJzfKFdHl816XQwVJkcC7xMNFDFDbd
CV32ezTX5kEC0jul0+j2E6SHHU2D7lY7Gm5H0MxQ5/T0gsRrfemtJkfA9/4FU5rme9VP3d00490s
fpptTYz5b5iwA6HU+W1W9/2eTVFfoQKzX3kn59tOC5PuKRt0uqv7q9rmO67ucodWhms7I+OSMvYZ
8nE25Rji3O8EvwVOvZ4tnYttgBoK/y120DJBmlFzI3IpEWmh+n5pr+yPyfNqwoyYkin/MspZAiKa
awSAHX29kp+7pMZ+RsbtSl3UMDwqGB9xAPMNWH5uzAMDP3yDiE3zJbJEH9uhhtQcif4qpxeGHyGU
hS8KjdmlHgKM0VG49ZoaQVy4+znZ91wsW53y7BBhuMt3nZlPXgzkCEs/P6Hi9xDWDf7IapxoJcBB
oOiStwd4NMgMqHHYdtOsd07n5Gl0UbCWckl+BFNcXPJGYJ5WAm30ji9k5zns52BcnichkVM2IX0a
EZnbzW5cjgiokW9ZIXaYwTHiY5nX6DMdkSTMPJH3dcLgnSF+9uaWcb0d62i55SnzSIPy6UhHDNcp
1diFlexHjLzgq7+btVcHM2OqgQSeXOIEiM9cGPZs3PjVrEVxCmIWjKXN/HAZ6wQAdtNjnEzOuzPy
0bZcsU4Ar1l5SmRsDsIZpAzrHt4bJ+RzpIl9xESXfpdczxYMCmwrCGD5UxrFlFXa9HQPkRax/zwZ
HrGz+/OqMKKg0rpjGGFBQQjUSDOoYIW0N6TBy5z68JYPXfbmYpEdmKojvo3ruqh87YBTmg6NkIpM
Dppi0C+KhfFrYB1O+Qyzxj4jNKb3FAgFsrViYdvEzQOrsJvfiUkeMQ9kqkZcQi6bi0dMhdLfFtOz
R0NI8tOCQf1kxdg8cF53OzoH9JBPNSJN9dToshtzQ2DlcPhZFEPV+Nj8mOnaHLsu1XjCq66JGT4b
DFXqbgCkID2IcS++NBJ3VcdHfmhplmHeBrZI7EP1OPBhQmeRoLpwGCK3b90aVbFxiJxC72UPiLUO
MzZWx3+AmiJnQiYo8CPmPH0fQ74+1rGZE+Teav9izRjA90WBjxlGAoT+WPj0dbXI3AgvukcTp+qr
GjikOAz9+dEQWAQbzK3DCZA0mO7gkF25T4dxQqstxvjkY7hxmC2J332WyIpV2Fj9psDQJb5bnG/A
qXTDlyXowmhTgChahhQzJDFmAN5xylX2RjACLivDaLj6FKFDmCOqs7DkGLpRb7BYF5DZGoFw5NKd
O2GcWpu/pIOE2N4vEOegDaTY7RaJ6QKHthYJ+IwO44JQsHr8hXaDKh4MH72PsUIpbF3FDK7zWpGR
Hmra+3usjo5dCo65SPCzEWuHEexNuiOc4sBhJB8OyzQXz1GziB8knscDnO/lJ0MIDverFfONw1Cq
e7EinZubZYGh1cJNwrlTLHXVZBRW/CLlTZMtg6yaqPghQdGYso0NSh6WqTfcvM1lzKLwEHJ4khUs
uASTWsKkxiCeaca9QZKE7uuAj7jFQEJeWiRdgkq3S1J1M+qbDW6e4U0oljnE9WT9THU+YSoJxguN
gAP6wW7MCuy3zAKK2DUrTP9jtnH+3CtMjXBW44WXQVGD1xyC9xrXFobZYIhDV7Z5xp46l9Tv4Zpn
4LLiQOx13buh6nOVY9hMZ+V+mfrsDUOcuqlyQTzP+6jwhd5wlOUasEqTvRftrDeif0JFSL9RHpgR
VzmG1FSYYtXdBksTY4RIkMoUrDBp8h2F2/7FodhGTYJQDiDkoAklsI8c62PkBPYkpvHdmiFt+up6
XfeVt9zaU1fL/DlSMQb1rF2RRudgWcag6pauaL/JeGku2MoyOIVhsMx7lAfLum99OpAtBAtAWaCT
dH+2zTq3lbIWg1YwMyd8yacuj6DPkxxpCYbJQNfUQh6jdlfpUGHAIgyXRI7QpWPULfwchyJ7STPo
G5srks+3+bikdpepHMWxtKLRVT2AY65cCHcoGSN+C7W832JiEr6tvg/bAiBK6oHKKXkTLC5/a7QL
gNUsiIVIKumXYXUnRht6r8KanEbSBu+kiWC1zcmKD6ztMRKkQqQf2UQkp/aGde4xrTWuBkEjoCEa
oNS4tGmZD1SJ7eC8Pi8Li98dDu/boR/NzwJaZIJtFAwH0iQzjrxGJxMGJAj0nOAV7Ljv6LzMIJjX
NoALv/h0h0eP6c4lBhO1gimQ8CeaFGOj/kbzuCYZ/qxeZik4VBJj0EaeQrtMrvLqn0UvzFiYTB1N
ZaZGQFdrg+6Hwy3H0VmM+0K0LkemJADXLpeWvpt2jTH4w/bXAJchxVxl/czmu6Feg2Qb5SkGSyGg
kc5bi9kHuND4vLwtxMFvDzorzqFnY4bVASatHLD8E7AhZCaVCVV/sj2mUOxxtBQendqCUQphsxZz
CfhD1dd6AZY8F5gk+Df5kr+IU5jBDmkboiPWHYa30n+JeyjJsyFED12uQ8u+g94VsO7rafj0NmNI
EC+YIhOP0QNrFhT8uNC7sqNrNP9P7s5sN3IkXdJPxAIX53Y5wdgVCu1SSjeElkzupJPO/enPx6rq
05nKPpkoDDCYmctGVXWEGKTT/Tezz4LWzoxLsJjplZEngrs2EeP517+Q8XkqxZfziGsxTfcIwpCj
+PEX0mtvaGXNrk8VdfoQhQYHP2ihfsodWBf9aYg8QJUCwuamnVNc5G5eg+nQRM3Z7Nff5Udz8DJe
1E3T9XzSI3iOCTP8+FUiaaIA9n3BIQv+AymBi8Lvxk3kWO12zlL7NzcntuYf700+DgwmU0Nie4a1
NKN8f2+K0lfAkfSC2LJ4bbVRPrYOJq8KjMnrr/+w//hJvk/a0lhQh+4yHPvuKSiiSiNwiLqqJX4c
JDAsjnUBXLX1+79Tav9IZvrf4Sv/X+mJ/+5q/yQv/btr49/ykslP+Ze65PxBGNNzfB49X3ewr/9t
hzf/wH1lOD6QcWjybGCZC/5NGqfTxUaFWlJhnrUMavm1/paWhA+I2SLUiIvdFA7xy38iLf04enSZ
RLsOTxwRMI85O2jfH+8KXaTMwiCBr3iD6Pi+yjXp9qcuFxdh37Rbc/6dILNchu/u+L8/0UHQWnQ2
4qKfPjGpoooBMjZHaC7s4rLXJJ44v6T3KuzuTL+74f1Hin+wnvAEvRP+uwUo9zYVLF2NZm2bzibN
ap+ytgycWn2prCnfqJ5Tp1Deb9Ylfp5PX9ZAdyDPibQFvVr/SS+BfQhUKAzBY0YDLIEiH7GGcM4n
MscOnt+03DoC81Dr4XJuRDbfLICKJm6GXTrPD8AgMVxFUId7K0xgrjX4qkcgug577zMozmd8UJze
LLQUZdXWi9f5N9BH1pYzVyu2IOYR73aUYP+sM2urhpF3bEu6v++i/qEsFz+HW0xEwJI9Jvq034TR
9Daa7XnshbsCaRGxkyPlTGYUJ0DDaVhp463ZSMFmxSLt5fOmacwxOg0ydddohw0W6uql4AXNTnCh
wKjYwN8DbWYd26jaddtrN1EYOVvfLHHDl9Lad7OHBjO7Isg7feNr7ZkgKVC+oo77NXxc62uYadlX
VQmscxFbk9bEV2Z32kb3CNvDV7lTHh6KuCif4lb4BwKSX2Yh72yFQyTiJaTGPDtmAlYw4nuGl2Ge
T6Qp/UM6hI+o+fiuFjmoHrlAuh818HYx9nZNIrd6xbQTQNjR7+sH1j/9du7lsCnAMm4MrdcusyE3
35huQt2crB2/n7+vq6q7ivQax3Vf2pdJIQ5FnH4MiVZc534I+KfUO2Nd+la8A36McFfE2S6Vya7H
bpWtwRzYB9sPET81PxQX3pS7qwRo6V1tluamCuFq1XG6aVNNcOwNGcj33oonUADwKNhlZj6+U/MV
R2yxNipjDqbSH4PZBEJs5Na1PSfNpmvncl0qKgDYa1VnW5MwTOFUbyrJsb3P7JagWicv8wnOWumF
31Injj6iETLTBIKy73PO1okTt3vpFNXNHBbpuojgGGgOd2jqGdW6dhsriJAD100fR1tCu+8AC5JX
09Mehzi3riyVZCcSHWpnSs26iI3o1Z2r/EuNx/4um5b5FaFiduYMqCBcROISWI22MV0ff7AN9joo
XYnWEMqzr4fypR5Dd4+rIl6VXlSsFcO/A6eZkpGvkW1EkwxBI52rGPD6fZu4KRcHZxYoNjztdZWe
w7CV2yz37Tc3mXOop5NN0BxPLey4a1APMCptKNVp4ft71r7oodbH20qfUx7QiPxZO+3zKtwnMQUI
RMZATRqtWoeNzDdRFOPsLMaNVw/hbS7M7Gx30t6ZpajOmu7Pz8jJw3M3h+Imn4xmMzRxkaymPg53
ZsL01/VvVAkOqnGmZbw1DZdsAkW3CmNvnZtuuGs79grY77q3fLSvHCYPgcybjd7igg/NiUSc+yAm
60NYSpz8cnB3qvK6jQ1/hvRK2rY3fRFagaVJwFGe2DGhZxA+uGgdlmGqjUpEss66sf7oR80Pokag
xocKVb5N9lNcQl1OJJKFLRkqR0NYPYqye53NQp6NzBN7t3GeUstMH+rIUTfK6sIzmffokiUIDkqv
jA30snKjDNu8Klsf2CZMrmtvHr2XSSvTXcK9eiNrKU9kOfNraLdIAlXMGdyxJ1hkWRYALzCCZRyZ
DoXCRFhhEIrxJCYTiQlbSH0lErcLBrOtYAPGL9B4uZZde9tOurGLlS0uCrt3V52mX7XRcA/0/GmZ
09kZhHBIUzK6zPI63mcCLxj52964VZZOODY3jYPtAQ8jyjh+NcbSvTB4gPfSCEHyudJoOIzJwi8h
K0QYpV3MuU3fJRdAbzl9u0aT74G88FyrohcQ7mprr1PIsUMTZUxWQ+gH6wGs6Eoyx2YXjbVuXdWy
e3bbhlRRHnaCWVscd1lQhi1621SNXNmm/CZkV+zn1qRigJlHeiL+umvdcE06KP8w28lcJ7VXXQg5
VDCERUYgxQ3dNxsS5dbSEqRL38fNNMKj2xSt1RwjPIBM9Jx2YbXZl3gF5U3Y5NmVwEm7j0ahHaKQ
7SpxH/N9ThJ0advrwnvlYktMupgoejXJ4RzCuD62sypvorQzNtzWBzbUKW59JS3cgM20RQsBzhmP
jBIgeVWbAml6XfjUBrRwBXHthPVyxfJjlw7rUvr2Cisktni/8rZ9bKaXmSTgT5Stv0aPg86+sA9m
nhqULG3uueuHZegxIcRVGYa0lTnn/qkL42+DpvzHqlHMinnHv7a9W12YnRiwnsAZvDDjOJNn2Tly
NzDfX7sVo12cfH1xJdNQvBG10FehNdA4IPo7TtbhMZ7c7iKyLbGRSTpvpN99jYsoP6uxqDaOCz5P
5cOxcVW2Sa2svVam8Lekhp8aPACr0aGphLdBFe+npNSDKKc5pRy99DLHHLCeyt5hmZiGEkS/r99U
HBk3Gcd4RtSeh/9SLo40/vezXeF5g6MfdLm/9Yv6KlZzcs6GoT30WXjyeANdsjNIV3IEcIfdm5dk
Byt9nTf5gCRbSKAbyZCtvX5W59DPbttCjAEPRAhTzbeeLPYdAdH88sr2arHHT7tnOtfEQdoOU4xL
W4/31UAkuM4t45AxiPvWuXBlPd4YFxqTzb0hlmiSmX5LKMY4JDaUyNrI/cdEcZOyZMMtjteqm3Dw
6qnsx9tEb3K84ZHeHhkievupHbGFhhazGno2xXae43Q9K2e8hBxNUM75BpWe2W1czf42J4Y3gR2t
V7lB6QUcv8smZubp5aa/Vg64Vq1IaSbIsMBitgeZqDv2eWjsep13mvzCADbc1yh8eyWG8CKGHXSK
+jF9Yngzb5XEA5Hx+rtAzGizVc1pcOvhFT6WoybfRJ6EF0PmqK/aGOJNGThnbdC3h8shmpwdieXm
VjjAz4aOnHkZ3Q3KKA+96Q0Bli5z51voolVIAMcebH1tZWa791h+SH8AeXbTKr2o4NNfeQMJb6+1
xEk4njqW/tTuZtu9TkKc0suMLRVe9tUWdbhFtNH3blzukXuYrhKxJ4OX+0HZTDyAxlStO2uYAuyF
5b4HhH82xvwp6+3kFIvwdi4b934obBWwvDCj782PsoIMpzDTOnZhPcq+b2+iHgBWzMdWevPR4A+u
MK5ACkMRAyfJ9j1Ob1ytFxtyfN1N53WKF9vseWfepOlj3/HyVFZUsTrW9UXrYrnVh+hE2Nb5GlpK
XqqxMR+TJPKfvDYM2SkQloel741rmZbOdWyWw/UArxuxJRrj9UymmEQMdHNA26m8sH14NFWSfnGb
kM2jSWbf8lBLTStvzojxbAi1PGXtBh9twF9SmgLehbV5JG23szr7aMK+vsukc4m2hbXBhAfnalRd
WNOXVMUUUTh+fkiNrt9WQFADgLlEhtw7Vjpsz27ib2zUObIR6TfZdPOaU95H1jmvRdjeT5W8mTmL
XeaZ9y4d6xXfTXxP3UYIf9m8zLziHtVLO2K2+sLMg3IVvhnUd4Ng1OAlga/l7CYLbr5BqWiboQsf
UhqZAtuQMshzu9snITauYpqKdZWaGXzMUV7NxXzXVKW3pSxp6aoYgXJHBtdLXPNLQnGemkuZ6/J2
mYAEU8EbVHRSEogJPzQHgLNU4xz0bDcnDzwmyDe1sXU4B8xtMF+jvK5JqWgk+JS8d0QWnzIn1Hbk
uWB5OytKYOBdKlWgMOfFIZI4KOYON4MFqo3NqGde6+hD2IZjsR3+pGPM7T4yCFISbfW2eVTYt8Mo
PyyHeF44tQwXLcZsekocxWZINzjWsc9b/Uy1F+GFYrY2buS+AF5T+7FJxitRkOQZ8nYbpd58UUpB
dLMEs3iaclBoA7KbpRo7yHIYyZNrgGJnjawczB9CEyfZWMV1DGV3ZbRmtEqBLR/V6HYeOkJePZFk
QiVL5lM2jt4H5OenOS/f9Hoe1haTaFKCSK4rAif9W5Qte1/Xyu/o5CJGQc8WN+poN/tSNl53mDqA
ZVVpduspb3vS04JQD9jybt/V/t7vtP1UygqYJmYO7EvpAFVZcsSccVNTm2FvDN9kOU4qJwnm1uad
2GvTulH6c62+DdGIY7OgiovZ+Pg8DD3sl9j037VsJsLVVIs1EKohTkWdWFc0bkcyfrvEFreqcMC3
Suumyfy3stHv8jaOjqLiaUhmjpHt5N4lcdruTdsyvowlppCaI/lYOA9UM1WrwU5eiryezvqy0rl+
nq/iNMT9Tq5gg3/AKxBWOc2SjM+qk18YB2+SeYDhihwMkHw4x8VdBoZ5pUpb35GJuEI1JLVOGn2F
kJwdyP+Ad0r4ZnXnH/lOz870SDnbtAWedsVh3bxt3HE3ODklEcU43dqVW2y91FXPlZlxSvYiZ9eF
WbzT28nA6L0cNUdY0q3PGLyZOS/x/fqtPiyXyeOBlXLpFUiwUwU5f8CmidKjLMigcgOR1kmznT+y
BdbH02BC+lScwwM3vEX3yi6HMuSV5aO2Mq59qNycmEfLjx468ymZObliZCJHxLo495q4s6pYe2TP
3Z16y5kOtIiE7+7IeR2DXne0dHs9y0w9NVl3hPE84siNp8D1QXVUnM8BhA7ySPsCWXVhSf1BJb3c
AYnVLmfmG7hkDLV1m4pAAmfZr7M1yffZaoCTpvX01yz6/9h48Af2xv9D9WuMmv9nh/r/yt9ePzE1
+Pf/GiCaxh86C4Khg1ezKAf8jqjh/wG1jxkiix7mcGPxnP6rrNCkc1j3l3H2MiXEpf7fI8SlOFQI
n3EXorlrLLCNf5XOXf8lnPyyrPDHGZlpePzf+4IGN1OYjml+GizX8PPrEhBtENLTc4O7g+XD7VNt
gzA0ln/dO/+jnxvZ5vPHLexAhnGCqSjf//PEsraLVERTxsikqcQXtJPkTXchwvJK66pLTxNdux28
MmFyBB38TVkYSZnBmf0ZlLVj7Ysyh6qYdHZ6NUJt4GCPYO2vffKdN6JjJruOW3y87D794oJdD+SP
opTDoe/0EmXERw5hM697X7Iwor9MTKE9rnrHxCCDcIGG65pp8ci+r6BZhPaBmwz0zLU/FD3fpU7Z
jGWJ2weCuHK/1oRHNpZj6WFwc0mKHJgCvhWB02eFUZ6MoN6Uph+0WWi++DDR6mCa3PhRETwwAp2l
j+RqWSBg4SjnDTRrrcXECKwihNtM9mdamaonBWfnomLCdxuVbrOEoSYBWscoJfWRQ436rPcCKqWG
j/Ca3gkTBxELYP81dbPa2bTG3L5ElW9f4W+Zre00NvYXZOPFi9DQ0bPyc3NA/JrL+lEfjDHZaxyC
+9WcRdONy6CWKNFEVUfggQF65lQE88gfyQDrtsdOhlmagquC/3kKLH0YXoSeKGOFQuk9mcyurNU0
tsVbUUzJsIU5Ryy1q9n5IJx7Hs0UkW/cDFpUWHvR2mDG3dmgk2mwkDPxrJE2t7rEw9zvil7HO+J0
9CMMjXfBXcs8wWsm/x7DDmfHqvDsGVe+JOEK4cp5iUeHrHPRmuJVK5RmBjnB9WjjsPdptmyn6+uJ
ncpb2gwdBj5/hmhVJd2IR0JAiFlhwWbCzTmYKgeGINu+hlO+Yywx6UE1DBPB/AFygF0SCV/B5uyv
+jDOyWRBQmEoElPBQ37S3ZYLXXRntaL5mki9KjfCBHKZmdwyJ69hVMVk13M+Iobo+EfzSb8nRqCS
tY5APW9wPiodn1ejYP/mPS6zwSZ5bk4cr1dkfFtzgz9neInicaQSYiTWvoJYiXMxql16VkQ3gQQJ
xeAzaJuUyA+OyKdlMloY3zLTwXrrtCYdEik1KY8Q14qHXJ+d55R53LguK9AtaJxh2q4zb+IYMBq5
JDPmTPUdg20P209UdBXQDjFkGzMTJmdRy/SuTUuZJa8/JhpBXWccvSTb8IwgoVXz3ydGDF+Cibtc
aW2ripU329a3NuwK2BNxmZGN9Qb3VLoZ6S0niRXUeAMmEWmUScZgPkg+BlYepckBqrlswVHw4t2A
1swuXZwr2EDoTzsmhonJrpC8kIlw990cGJiknJVX+9W0adykfZXQjBL+D4H1Y70c8pdhasnJmh0Z
QMq4EhdpAq7X18GCIHaZyslV21E2qqKlCVTF0acl7D7OB4bS1Eo15KKTun3P45ntVtcXukWMTS3F
IGPvDau8ITHJTnWesRE4ufMyO1rDfCBtzKvWcadHN1H6vWRufUu6F5sFR+v+2vZzm1h47Zn12s7Y
i67/fFf9o1f6/5/BMuS1X76186/F90X2Cwtr+U/+enEbNjEwl7cjIh6qO/aTf2l/9h+egwwP7tLS
dWEg9v33i9vmP3KWFzN5F5/bS8ev8C/tzyWLZqN+WLZlg1H8ZyisT29SdhNE3gw2ArwPbI/BFW/a
7xTh2Q2xZrVzArwojNwIZascyKMLnGdrRH4byI5vj+9MI9Thu4v09xbi+0DZj0EoXtvQt3CYeVQm
2w6xh09bBndQoOWiGHSIKkBpurGuv9VOCzQlsoBCEXtw/PbQeS2iUUGL2282EZ/8BsvnE8MStmX5
cD593Vpkv+/+cjrhyKA5hKVJaVX6aiapbQWewyOJP9R/4N2XfxXmVJrQbvDQJa00ql2rcEH/+jr8
qMn/+T3cZf9EFMW2uD0+BT96vSKIMBEAT4HlXujAD/CmdsORiSlTm19/1o/Ghj8/CygwYURqyQVJ
tE/XHC/nwDkCq3ZWkJO698LJYynAm3zZWibXHIPUeP3rj/z5BkNRNlGXTcFOzXY/3WBqHEY0DQbC
7ZxjA2KAwCGNM61fUORJ7rkZE12e3Vnpb7/+4P90XQHJ8TvbyOuWtfzz735fVbIQwmDOAq0MG+fs
jGmYHhfsFI54MpS/ubI/380kigmH+gj1Pjv0z7/ihNWX0FPO6CC3L1ShPlI2oeSg2f1CAMq22sRi
nea87H/zHP2HC8wKwpNruERWgeb++HfKrrW8KbMKwEqOfdGnY4bSaegEUdKPglz7IVvuq19f2+VH
+7eb6s/7CKCyyVHD4xclEPvjZ44zIjHFj0UgdVtHZai4U2Hl/+5jfv4J4SmzdtrEJFk63U/GGDoK
MTLJMQ8Gm+WBmslY0RXczR9zGQOK+/Xf9Cc3+cc/isvHxywqP96EzwsCGnkG7oJYXJ+K9NHtCaUE
haF3O8NIOrUZsSWj6uaIBmAGLDa+BFZaGnDcUdvUFeMIdAv4Tr/5Wj9fA5fTGyc4gwULSs+n5yfz
2FO0IU3HXUwnx4UegmNDWMuGS5qG/X+8FvHCocWJtYgxi/j8YTPiM8bcnDVxAYaiYCc7mzQULAxE
k+dfX++f76Hl5QYxGxcID4zNG+7759NhBUp5RqpgSDp/h82ae6iQdDj/xsz185NJ95LFRJDcL/Th
z16TlqB/lZQRSuRQ9pe08+a7eRjsdT7XDN4cOmnedW0s7v8qS/j13/jzekvakI/E2MbaTrLvx7+x
LVW0OPArnL0mb7cO8zzqlJOwXSZEmF120uTV8+vP/A/XFQuPQD7Hx/bzQ1MbDLDYxuLzx2BxrVGb
9sjK661//Sk/rToOh2+WAH9Z9rDxLP/8u9W1c9M5nfmLV2VjaNeeSMPLsPbEMQPosDjPydzx8F79
+kM/c+Z1hhy6C1WWbAbRZU7/P34qBeO9hpm9C7zcj2kksiJvj/QjV5ni1LzXckKAuz6DBbcpq0X0
mHIn+kjKotwrnWDCIdXdzKLaLcVO8Zvv9tN154d2cFJZoDvFz/sZq6Lvb2LKGoC8r3Zk+dN+lzo2
iT3DxNjhli59ZVTGXiP0kDtI5xI6ZB/xGM/Z18T1657onl1XiyU0+d1z/dND4HIO1tnxmMsaxzny
xwvXjwnhBauYgxZb5VMDBe2FkkvDQbCl1XCm51m/THKNG5N9IttAY26AhEyzieLNBvHJpqtgb3Zu
D0s46s2j64bDsKF1yI3WKm9GMNXzgm7OYHUCVks7jr4dSbwUR7JwIGDIMvuoGm6moDeznqjPSEnD
digLE8qdJtgACjkptdKjUb8c6En7ytGyHPcqJL+zxZmfD1tpevx75mT6nOPoNThGk98l22h5tv4C
+st45Ev4eAFGBPVr3QrLrVkk8KQAFObvrpFPAdMFauu8sYCNIrgmIQClHsh7NhN6i0fLuzAjgSbR
S9ze63YuvOyZmel4TnRrbDe/vms+/y6s6uzjfTLYuuEvfIUffxccTWNc9Fj9tTMJa+y4FLKJdeV0
v1kUODF8uj8FBjZGGCS/8bNCTxHLP//uiU3Hrmn9JvaQyjH8vGomBUcrY5wqZC896avV3CiAsuBN
NzOKbLtOW+s6hE+7Cpc+vJVqG+vkjJF9dsoIN07k+PH1rOZtjsxDnlRbMRmE1TfAqgp4pyEjQg+o
1xYPXryJixnkH/V0O3MAaOQCXaLgq01eZpQJbVXMoQxwwToYl/C1J6PUX2E/7yvEuC86mYuGqG42
3JF1IKnBhsdDal7Q2rE0sadNxpyunbq+WZZEKHpVKPZh6Mrreja9/pQkdJBRnes0u7TVAfK1Xsza
H3WhxZzcctcxxPiRpnG3pMWWjMLigqRVYZCNjVckDsxM0x1gUJrOaZ5uGLnT0AV3cTyNW+HaEN4N
6oCoD0sOEnVkfuVHp1ZQOba5rhHWKJWzABusFG8eOovzor/XDdengbSDDk7MbtW1U3pDgxMt5C3f
YtoYtUNUyJ89wgdAGNapnaubUJ/kbS3c7A59rvgqVMfQw49r5a6M3FYGhc7puAu76KrzZW3tmtxr
5EpXyv/WYF+peNQ0+0vYLywuHGUMRRNrRECzFPISskiH/hbWN4bdM+HhPjmVdWgfmSdu4VZ528aC
OMTF18/lRFWXFBqGnkXXDTSItM0mKmvR7rG5fsUP86KlMTR6Eif+l4Y76jbW0KEqMi+gkZIBzWsw
rGfaZY39AFMHKGT4aJeDed3oBsHqmVb5NCo3KfMhfAWzZiC3TFAn/AZvxCoSrnk5FU56URS2fSt9
wnNoiZHTYs6Bv8iHNd+IwlZegOfZMXc9jRjZOQ/luxs7d0mqvD8jCdOuH5EJV2LOZ4K7lvEoBwgc
O0jN5lamUr8xGTUjTdsj+RsmQlEyvzdDz37MThk/9gntPJnV3TK6bRmi+fUu9AtohBzfqp2oUggI
3IjtmlVLISwuzKZUg0GhNK094tJugQWHGWHYJEF0N2iRi82wjY4cWvJD1uhWDHkuwVvnS8iIMxIr
o9yWiVeV2TkrRhTxGtFETvNQ1REs0vRdTsPYujMEsd7OGY8cs+GzNclzb8XlqkobQl55S8J1WNWd
tY31+ZHqvseUk+OKq2pjsS0P0xiOm4H3+Gpg4WIQSzOEoxXZFlnNIMjb+/aHmfpzTRNWizlUgWO+
Qs/tQ7okkLPGzEqIpBKrA3tcMwYemw3xdXFDFE27IuzPBAHYG/2NVtDb8UNp28bB9aM7IgD1DbaQ
5CPuneJQVvkpbdU9bXLR2ilMblP7VY7zawYKizhemfUv7HY+fMHLbdT6N8ocxRd4Uy73sxCHcUb7
xsp/O/rRlYYX90KvhfaUhvOVPdLZmEXJs0H0tkwevMj/AIKPxdKbjhMOEhYprLNdv3FbtatnqjR9
py43oxLPEakosuPmlUGjLPEIuaVz/sFy2zGgaPYiwqVCr3jO27R6iDTDAnmffSPuspae+ezb8k2P
kwcfu8eKBmonKDpIGSoaX7Fqd7Seyumd/d3taM33HgW+W2bpDBMNDc2Y2iyEYWg7qYpOknssR4Ls
G+O2BowZxLx4T1VhAdeW1Fv3CPwNWY917BhXuZj4hWaMoHEandh+kmzLK8Y80oFnSuXwuWhRzbti
AOZJdpBP0O3j6MT6GqsK4aWCGEuMh7iOrOpcGj4yRx0Oq9Ziuju01l4rM21VWul9NDg7tjozGwS7
Jp0cBV2ClEyF/Z1p8QwBYr3KGIDDvCjYCSdfvTgWB3ZvtrduanPJDBn2R8bGA190oY0fbW63X+zW
KI8hz9lJVCTVBOQGg2zXmpymv6fVlbJXQwt6zRzvBOPQwCjKB8J5F7NL9WbjL4cMeMq0mdWrUc4H
dhOXs4II4NdQoGYDxDtz5k1uAjs21JcyC4+qycNdMjKfR1HatIJhEaM+YKY2iPUI8sVGEnw/59Aw
3Cip0K4NfSmEde/xJgM9Ud1D2hpbzY5u8iU8ypRixLc13GSp9x45VBuwxkYnrSZHJLX4XdFmuu5N
VkTaIKaV20RFUGrIGb6ZRUyN5bsZN8c6zrwjDXsVdr7ym0caDp2/SL5xPIwDuvX0jTdVxEjDubzA
UoW4Lfz8Ttht/jCH4MSEGfvsbrR5Q4WgZIE24nW2wAUznXbUbkcr7YTx1fxqYtLjrmOo0akpwQFd
eodGTrexIfbG0N8hiZ3aTt6Waky/IBzcJFFiB1rsUgwtvXdjyqNNhUP4MBOCZJ4FJMQhBLsy6mZD
JpACkDY5z6zOt03d3+p2RQHIMO6ANAUQWC+tuo6538VDlXG48EDWejWo1Cw+1pp9msf+xoxrFrqu
P5siO2euvA/nnh0nU4t9NvTf4KpXKxx3pzgyWDfK8tSbHcTNaCFKa/o3R/nY8XzLJL1slRVb1eEi
IxC/iIZmYOYDzO1oVxcgSNlluIdQAQIoufu3BhdylS8/eNE+u1Gv1u4odhoLTr3SoPaf9WggIAa2
zvTL8sFvi3dONuS1GzUQLzfplm8Y/HEvzph/I3c612o6tg1Qcavzn1nAQW8k80vYJ+BojYiXuOXg
zY+16GQkpr7QS/B04JeroNHdDOASwNKYxWrKclrcEoB8ZQ+IFAipto6rCeJlmG57P9nU2BliYoqW
mPh32gQuks+b3B50TNXF64DWhFBVfuiJ1q6YBvhbD06nR5XKqhDEHVRvXZXsowHkhPcwik4OwUGc
yXREFr58pUD4oo/8Eexx1u3tiN6O1FI11m3tqZcOaIlicgNUkXMFMXljMGDIi+yg5/ehG+3DYQLP
Ch6kNi4SPb50scdDkOBtXJYYfim3WtVZXa3bkPRDXn8kffzuuCAHl2sbO/O9jVK6mmhDOAyUjGMq
bfgvCsZwjZkb0LQkFI7Z2ck42WlYPqEMY8yAfGHrd7Utwu1Yq51jaY8hp7Yh7QLEomt2Gluc3YDN
MrlmovFh5v1RJdXFrGu7hr4+JNNscUxr2yibtj3cS6bKD3oRfqSl2NqtvWFytBFdQoW8ezfYxdWs
bDDyRfbsNvO6toaHCktX3PGGVZWxET1t1S0y19by8mvmp/l27PDNmnQ0BrWVQwooE3xiHT8HkdV1
VabqnOKdTVtHrUhWB7EVDnuKVSqgPtYutjEQRUNzVxOCaDSc4R7ztJVNtAPMTvWot56zckeQ35p+
a0YuNFHGTc6oXRhVC0JUz9qjQ3ibW4roX5VHFxqNMbvKhnJlwI8nTeb4LwnTHkpYsbXzKrDXoz9d
QwW6mD3ozM7Yn/uyencn2g1cctmnymNHzm76ySvqa9cbyqtuduK9DTnB0sn9ucVMJEVL9sBdtIeE
U8l95PlvTgecP3EPvV5DKNbu7ZC2BHIhASLtt8QFRipni6Ob676QhEFWdPDcY34ni2vNl4lnlgE1
vzTmuBDvR+21az0XELYrN07p3TsDLu3YMLcLa283znAwvMK6x9B+F8eI6aOobzBe3NApUZ11025A
wswvYtCOtHGaQexg78wt93bMe/YNKoRsFMlrLSMercLFXee4BzZpuymlPNNHQEf0sHEl2u5VQvdB
oEjWbpFbbqo6fcsaFMZJi68q0Hjs+0ZiR56qvwkjvykUtdwjcyRIw/JR6ebSCiE/Kmu4MaQvDtKb
rAfNoKrMHFo7oHYEcIehxmM/zFetSyhEoxlqa0cpVN16KiAzxPVrWnQnM5eXCS+wYz1r4dri1LPm
fQXYhllgdsl9B8QvAe6CczwoC2xcnASDmSX05Pp0D60Lwyn3qNbvWpuNx7ZdgrNxclW34VWpkuPQ
dxDzi5Q+dOpMqIx1tY2G5hsYjRxWhhebOM+oBtHNucFA7YQ092C18DFT1LPau97IcsbKstJrd4M9
sQRTT88Bc4/13JUPVaF9ne3au6bGO77UvXo6ViBPIS7xM494aDe5M0SXVl9v9Sw8xAPeW93SnvuS
D3ZyjRzwf1F3JjtyK1m2/Zeas2BsjM2gJu5Ob8MjPHpJEyJCCrHvjK3x62tRWUBm3oeXicIbPSAh
5L26asKDjZ199l7b4w7yaRKoCuOW+dXe7/RbPPZvdQDkYdLxyfPAMmljJ3pgDN1s39V991gP0GOs
pr2zlygMJDSWXBNOlw2HHKxUT0PgvbAJd+iPUbdWyG9EeR6CgdRUKcyT8vmYDB9jazFMYRZ3r85i
vJoQZC6Y+h8nP36ih/2pHDRIlSX9ToT3QKElHHPp3I0FRdp1Z52VxO62rNGU5gpii7GECYZX9T7p
Z55Rtbd3BoX3YaZaZD4VS2/yYqHb1CfNbmIgqzS8WzmGLWbxtIweTQfA3ujNay9xdAqacm+X01tZ
lP4uLkxgqAy1c76WMJi/+2Ze710AW0R93NArACPjxGaxBm3Hwk/aUrQAx6mwcgJF2TS5ewD54Jdy
OQWvDIz9M9EfnN6tMHLqJeYm4amSZREEfixRyz1QOJ0/uaniNa17iNhHmY/JFSBB/jjHdfu7q0ce
fobqODKCa7fvMYfD6DDT3jHOYHY4aMYAUX6h5Mg3A8zrEQv7dN8DFIE/AHn1rYkyghkpcCU8NalR
7IH+WreoMSJe1uYYuUAhiyLsJQidHbeU38JbmIawGUxwTslg3g2y915cGktuoB9j+Pf6YbGil8DX
jyYK/+dMMm3X+h8875ptpj9ttTxMpKs2aWtlZzcGY7YBwJgVewEW//vMB8QVhl0iiGqXiRdnlbTK
Ye+hZxkdw0IGp8yIX1aCyQL/bTvPxdOacS+W4WbFwSNCcLXVOFO2JcadmSZ6kAx1drVmI49wKnXR
p8SfSJSqCWt8PrSR4nlaAD/q1vlsle/BoY0mqHHlWrBdTw6/aCFNZXDtbqXiLaOm+AzlKAYyMNcP
daUu4zC+52lXE38Rw4vyrO+V37xBOUAI1S2t0KI8JFGHMFLV+TGbpcHwEZnYszJo3QEQlMyjVzuX
7UodENBheKhg7JK4OP3iuWzib1bJnctFglMx54tzKEfbkc/HrjFmFMpGddX7KAhAfeO4TexdMpLi
gjp99LrxZNjtUzrYD/1Spzu82tGFPftnnWf1IU71/Jw0RjneDfNQfTCgxZ9tpfxb0eTtfu2zfoob
C4k3nUlP94ZkqTA9oVTuqHaHOOIut3ns6q2hoITVg8uDLaMOcMiS7E5UsXzmTv/o1HxLOdY/kOwj
NugHNWERggSvTMRIryQI9LPu1XLi/aiIehrVSwPA/q5YluzmeYM+e0vwvgiwFL7p3WI7e3f4hlxq
p6rDhFTdm+GWXBGc3sh7db54LWpG+yHJk3BK+vI1WFASXKq/n8045ktwTXBQrDRPc98Gu1m6061Z
guSn73vuTwlm620opL0peuetNWndTIATPGR0ym58OWfXwo9GzhSs08G8i01GAJP0EavsCUDG3EiQ
EZA3RWKyze/mnzhtr3xbWKVN6oMVd7FTsnmc2nr6aBJkKG6dPVzPFtHNSS7sSapQtU15ouRkOPl1
UR7TMWooz5Pjq01lZQYg0P1m4cgOW07TW85UwJv0yDnRompG1HXwiJDkkwEcfHPbZ1H+3DBJHAqd
//TrBuuDgeUBbGVMFXH+Stn7Dh+0F2KYj7fkogkwrBT1otZdduD3devnWInS2JWWq4DyLOhTtj2K
V0fSIWFZDSymOMi+I4lo5BOXSm3W8ebFAqF2oG0UtcwA+ZL0w03bnJshzBVrbKfa9VLg5WvVPO5H
0XRH3UhvR2+XqXiYF8ap1m52T8V7c05jx5ggdcDprF2bTkA/jp89kctrlQ13Bs3hO8CbxfeiT5Pv
VZdhTzS7SbNg8wTcj1ztcYbaX6s7lJWAPQMTj1NAeLDg5gcW5gVlkqozfzarpMxg1GbkiwdOJNwb
sbMFupJxwWmS6xD5c825cNbEGPbNMowoRT6pChrGSJF5j7VIaXXZDLTnyCO8SCQJA3ma+3eiXiPu
s+BjEVRWMoUsScDR2qf8+2wmqapPY9QnFXI0Iu7Z7M3U+YIIM3J39mBWNjRgVeoHmQU1fYO+zUMf
FpQdf66h5PlOgPBJVzt4F4fkf4u3Dn7tun7AqhUOHbfPJrP8Rmx5G7B01Bzvew7VRAhbStbkiZeC
WzPrgCZ8FqXjfsZlDD2FyT4+en/2BsDeuuzEOVQ7nByq7jjAKvMfi5HT3Bk+mGfvo77LaSPpy/69
dgugm1Xu8i9mHI1Zj6eRdT6Kh2dk58SCqLKlSc62k21nzQ5kPaWL8t5unflW6CFTe3sQ9jEZR1qU
FBRcBikERoRrVWrxWbalAMEn/Pqrt4zOedCjSxNZJgHVsRMjprFr48mY92quh/aI/l5inExcYYRs
KanV4RVFEZc3NkF+tkmP+GGGfAq01doxVx/MhRYB8BsQduiX97yDbU1Q65unecqnb3WGzhyYPw3q
5cu6e1B5syfp7iIANzxOAhNgGFry44KuuvPJk1/4bn9POL4m4/Dl9wIeujct37siJbeN7Kg74gL5
gkjHaIWwEOqJEaefJ3pqMpSVdVpP9k7dkKEpf+CApEhPuAb7obgz94zrBLFGap6IuP5KA/84GtMP
M+7d+9odxSaHgxmPcfvAL3Ge0cbzF4pZ5Jswm+w4SHpgeojtWbJ45MDtCcNhkdAi3VqUoPF3hUzv
+XyL0SPDTtkVwlw+BkFxcGgndan5KHxvlwVgi+JZufrQOaNPnBnyPrcI+Bz7bvBE9Rk7UJO3eZaO
zrntptJGVFj3qntzItR4zLqUyd2RufJ3VdIzANQe9t8tA+Lwp/4rONS1r527tM2IdbWNLynNUQRr
Q3tqXe9S0T5TbIiRVOWeC8bv9vY4zuLiYWSVD9EwemtNTkoLn2PgJYiqReZXk1YJ9zI1wq5PfHtT
sImjZS2wCnv+3h6h15jHO4uJI7YNMFh121vUgel4jl/6Qhc28RfBo8AdDX7EqcvKSYg6WPOLnaBA
qYruFP7ffj8DPkn2yRrp5enixz4Jjry270pz0fZzbk/KvATYeQtQV8UyHX2wZQ2wsj+PidHPhvLH
6LptenM6OyuvFIyTEhHT0NHSYzdxRwGaWxJuCNzGSo/8zmD+IjCzF7P3JbKlah9iRzFKWV6uz7Iu
eeXRwfPANbz0ezXavRHaOBKmtyGogtBWc5NuAiPpjgSvMAITrI9uuSDniGFsWpc7b23fmaDdmi7Y
qYk1ZcwB836Jq/TE0u134C3vvDKZpjhp0wlv6wee2/0lddxLNfrFsUwC94AvYbV4TIg2tuwPJf2A
FNEkwAkN5WzNNuDsUznTKeng06l1y66prGW2cAf71+BnBqWqSfQtqiwc1OhnybeyI8wOOQL3EeO8
wv2N1swhciTrflepJuH0lnItSMzpl8KzUXySwg3uicfMRyv1O6arAPTTIqsohPOlM3K6miN6SZj9
Zd2f7IeAl/BMKojL3Parn62R63BQtBZFef45x6YGLhtYj2MHgPgw+TmNWHheT4sQz4NF6s6QIt3j
w3BRbAqyUlYBel23Qbc3iCCfwV+I9jwzeR1gtX8B1cp2OdjcZ0tZjC8obw5fiV4m5jz1I+Cb9gxX
tf+Rp9VET09AJ2flVNvCk4W5EbXBZwozkWOrRsda1AoK7mh5qsxovnmMpDeP647CG/vdqQDCb1nJ
Wp8FcgEbMq+3dqwy9GvORvUtye36MTe9b/aEgjOZpR/CM4weo4iSkRC/8w1wM1ElfH5b8MrN1VfK
Q5Xv/Yc8GCbwzejWIJSLnDVkl48nFfTFwXcJWE1D0dMLN9XUl1XdPTjAgRi6NTJmS4uGqPVp1yZv
pojsi9cMnwrIeYin7+Sl0Xyn59bd8cbo7wNwIWd8RNSh8N3+8NKcRLjZWjrMFR3JhJzIZe9ZG9ph
IdsoBShiO5+DkcT0XwVVa4ZdXnKF5ZOrP1ovzybqUQyL+T5LbwEbum8JlvxvE20wB/hGjwa/0xU8
lvsw2KyAOFtUy1mwIg52mt3Y/cQpZA/ra/zlyLZ7rKBx3Qw1nIE+IBDRbeIdUQ6Qp6SyUYTMTDrw
TuvF/p60C/RATROKXevqvnNicVQeC3+Svryat+ZA3KrMBGg0HDmAtcSS/EgiQCRGQs0GkU3C1BQh
NTxX/QHHFgHpzZRYPeYy67Lgtz5QGGuhh5AbAYcmBYVqjePgA0iC5wFwxU7jmjywdKRCqEoi65AU
FnM5wVDy3FO17In0ttfYGNWnpzP7HsDBF6mRoGUeWk6MKzG8g6hPdzbpylNV1vOpXWEQEvzcxVwZ
EdEi5MFpAY3QJglIYrZASjRdQ5KZlkR9hYMrn6p44tCxMimWpfLvEWn8TQ61YpTLkRkt3XdiwC0P
2QLfh/Gi3ap/VGy+OLSm9YoLxQIRiGxPh6393plypXhH0j7FkotwM1NE+ET2pCL8mBWnQI3BscmG
6DhkHipcCrbZF/WZu/WUV8nyHcccynWMvigyVz0aDqSPhBM9U2uX5c9kjc1vk7Tie7iTI69lK0Gr
ca0Haw7ecnfVUM2yzA6DNEks1PgHsNwl2yCnBqmMO+uYp8vaVJoPt6UZCk4YBYFg1hhf9hR1v+i7
+SqyChhDOwyg2yzvHlpA222aAZep1w38OeztWGjPAARx/viTlXCmyYrz6sP3V8INC+w9ufLjHFXj
SbrxgiJKAtiaqEHz0gZUvv7eWVkWYhZ5Lcv8p6Soj+fIyghrnDW/clfLoHU4KeAJjCzop6J18wzz
T9kTPl+PNoYBRIfc5hbtZL7LmbiJv87JE3J3dYHs90RD52b0wTnvatop0JVZOdpYayleFVynsGHG
Y1waOrl0qk33wTjGF7wcPd8IHofBFPDuLdGpinF5Xggo7ii+7cJxioGTTx12KZDE8eC8eCL7LPGE
AXMx4x1Lv5Bjl/nam/kROT07l4H+0XQmHHE+my+j5lWU2lPqAPPXrzT7TLBA0wlbINRiXW7S2U/O
IEKD96iEm74Rnk75FWbGY3IsqS31I2aCAUoisQxZGZfCYGKux8l4mbumP1vDpC8xb+YNuYb8GKCY
IbTP3UPX+ohGHu2JrIKTi5/DoSYuMdz7RYNOjrSsAUwd0A2ZPxi2INzYuPuCUWyztmxeUmFgSeJ5
GtI4Kfc1L8C9AxM71Ebp7Rr0lSuxZPReAQexSs1uCzwguPQVXMBExvJJRJ6+g8/ZvsqI+bREjfxm
uMZJa+NMv72wdiNlx5TKGlvRqx8EysrbMMjgQrlBerZgQx1bZXSvke+YF9UK/66OwbQjEAuKyeh5
MimMBzFBzasRZ+IBF5cRhTzK2CywCmOxQ72y7LPySCOD2AT+elysiaHQ8ZyHuqiCvUULR89uQva3
wa2Mez9lNREz0780RuMTbUeWL0z0Lite1uy2LuonYTUfIOKru67gTbinY70+ek3thqlDJ1Q/Q7cO
ejb5BcbpDXMdT+bSurgzU9dVI2U/xVPC9ncBnE++HTn3bIzIietpkS1PDYGqJahO49d8QA4xz95U
kAmP+AoqhcmKXBZQVgrju7M7z0GzUVr75zon1MUiu/6hedLMa4tVQFg9L2Cc0lxKT3DXEYSmBeqo
Z5NnQArJR2NJO5ae7qm/m7nbUqnUe6Q4XSJr0AS9G8WYdxvUOXGZlQEZHrnE2tpDC0YntsTvhCrI
Y684jo06ccRrI8HaTI5jvFKwYF2BCqnz0i/vWeuX15np6tHOpDqXkVs/GWBwk01D6uzkeu2gkMqt
pQSqEAc7kA7M82LW5OllEUpmQrEhhGXVp8IFIrOh0tpEo47V6OyMPibC6/Zi2NbEuH9qu0qGMLCW
6DVp+/y3nUMq9iaDd4Hvs03oe8Fl0wVjxiWf1gJOEaCDF6vR0tngfLP8XVq3kuOv2V36ji4AHmgc
1wq54PNiZJyw9XrmvusXDxVhwazpoiLnpM5vRsKg8FJOPP1cjfsNdcT2H+DsAGhwFlOZbw6+Cc5N
mRuf4W1HW4ZxIpXQGPRGNGXab2ZSa8XOmUdJU+DYmDSaOgMg756Yfm7RT9w0K3DcrsxPu5vaM2BT
ng/SntlU2MsdfE6GTMJL13oyondrWT6TGf1GSvbbueQ5Bi2RAjVvvrdnke+9xoDokrjrgOzUvxx/
OvWCNpU2yK61N3xPucgRCmd6tNO1wbhOpY+4Q2xsFzVNSWNC0cE5wRUVAy8iIudz0D6akdGC5QK5
wO4oa2H7RvXBjEsIEq4u6RIyiQdiM/Idgp/eTxS6dK/a6tBJOYXwM7trkY2A1ArI2QwFKIHUOgEv
xsGSKRnsE63Kk8W8sLVn/2fg0Vg7YZg8lK3Zv8MLik9BHcWwiPpWHQcL3HMCNnzHnGtsdDvHNz5v
vEJ47i40KsMQr6Z63C+EbfZ5ohGIF75JRkLn48KmwrgEYilfxpqxc+eWk2/yk9V1cczl5geNjfJO
z8Ry5rnKHtZjQ8zhCamLHajDwmdTcvH54Zz22Ylae47n/JwIOx7SLInLVgB9w4bCLBIfR9e21U6K
aQxjzCPUJ9bGmrZ0niZWiXtiEuyAPAejFS2DMKSlwct/vfos6R0ZrvpvS5VOR9NuCg4OPs0kVQeh
BSAHS9OmdijDkAZ+QE/p8trTRn+ZxMzfg/NexF6LUTkeBKnaUdz4tHk4dzWRyKGql1O60ln+tYHz
ryhDbJU4cVwhyGP5jL3+XyzeQOJ6Z1T1/1jmF6Kk83aiYzXbIL5j3HE4IvDMWgdOgE0nPfn9Bwt5
j2Vv3ylCMAED8HGKooIrdq4ooOFpSBcqW0dOY9lcURvb24O1a0AtGF9lTyEPAK+6nP7mEf5fxff+
X4Cd/78m8n2MsP/3SP5efVQ/v8jy4YXo9ZrsW//7vyX7AtidhN4DbO5Mt8TrcfdiFer/6z8M+Z+Q
PKnZgiRLVI8kHwjZv2M9BVZsySmd9z8RP+vv0T7zP234ea6Pf9y0nbUc7H+Ryf/n8IF0mHnBW5Py
wrjHP/215ilvwTdHDaO1m7RzfuSdubxxTgjOlSo7np8UUv0bD/z/8SdK7gZCXsBziQfA7PhnizGa
eNN3eAA3BRHWrZ1I9n/LNJlEnVlmgSix0uXxH74beAA1xaj/mCL8K9MYd+0KDCZaAb+U/3l80P9o
a+Y1x95ZsBKeXTo4N9mocXQTds/YBlkLS3tAzJC53AgnQ0ofLpIpvEUdO79nWxWfE+N0vY1te37H
UsWR+F//9dav+O+ZIj51SewkEIIAHNQG2/9LgslmB4SZ0+YUWusFV2vVuZrJo3MhkayhqT/JjEpy
ltz96z/4L1EJ/mTGGa4h07G40ogl/MXunQ4uzcSKLi7w9BRn1oIygLiwCaEBBRnEiWPD2vLkWuph
iBuUtpYYTgvBpKNdmZ4YnNyawErxJBHVjX/z1DTXp+I/fS7kuQL+clixrIC7g3vgH79rzuzwAHPr
etNE9WxtKGB0b7DCUTgVcuhGtWXKy0AZPpUdrtJg0byk/l1zjF4X6kb3g11r+lgOOA6vSZfGBr0x
BifJf/Mhch//01+U5IBrW8Jiae0B9caw9ReDPt0ObsBGjMgXRWWnlCkl5KvJLnleANgCfFWj2K5d
K+otYSRnW5jxbnIKr39QflXc6SyW32lIAgfIUb97NGbPZvdb5Gupr2rdUzvG8pvNMJDsmjQx9a4b
pfkxKOBe22wa0aByQBeHNg4Kdqe+0S+3SQfF/OgQf/9c2Aw7x8aKBlZPzaCq/LZkFhZ5IHO2/Zhh
RbYQLns7rTZl7WfWxkqTGjGCEydbpsLEOH9L3Ik6jtirqox25NxBK+PhFsvNSJi8f/bYzzHwRbP/
6RmDYF+XtkZ3Ggpq2kcNX+7Qjw0Bz6g3PM6cptdMW8k6DRhEX6uTGprOYhlRRfq0uARHkN96gyW1
Ynm4db3RUCFq5/wRY8zG0wDWbNi5GBfSO51KBD1E/DzkgcPvuGCowOAtRge8WFNaj6rTMUekXJZb
pun06gCgVVf80swalpj50ZgLixJcCownHAB5nm+Ecvgo+xoP36ENZupj68WieqQcU8zzVFOLz9iF
YbDhAM5/GNOWhtYLwgs8W9yemwgY6h7ualK8jF3fXfxuojNmypNMPyC3gQoy13WT6TnwcoM48H8V
2JGnVcxKCBQOdD9irPQ+hVao816TwWGKnWK+uU7Pc3qJhLwwT82c140EO7bwOx5pICdx008znOAw
o0X3il7u7F3d8G+p9oVISB+Cv+tqWgKWYerHcNbxcHIWLIM6swaxnVZL7ibKhuRx8W3/Vwp/grNk
6mITJC0Ld900H2Vg9eocZfnEMiyTwfwyOCObUQV6KNiXCRvUGEXwJmMwBZuWkrh3g0fLeATU5z43
RJ/mkzQQMbDBxtOjnzsphJA5xsVjKkzcYaXG+tRiYyZC0ZtnOkE+ypLCDmgbdf6xYNewAKJFCgEr
z35hlcKua1BwBpDCZu4L5VC1dPzQgqeXdU3RL7+o90A0HjBp26k1/sTPkl3prBMvXk90YkvcEdzr
uMz9kZWzfc+ZEfaYO3TvctXzbLA1G+QPOGkzMiMH0BrT3sjXT/0n9ZaFH4fYidpykxucsIM8oViq
kg4Xr9Pg7p3LPiIg6eOaqCZWpkvsKxxmaWS9mwiEckOsdLJho2bqqKTk8Bvxotibwvtye+z+RuYE
vyEaSr3t+fUBefiifKnZv5gEXbz0bCoK1XXORomynCaUS9c8Z46h2RT3Vfae1yLfpYruhXBiP8Vz
hm+3tWngYYpQxCtOs+t4gC2TXs4eJMdnB3z+Zzrr6kHNkDbIzURkYSrvRB9mfVfXLtSUBjvuBdgG
j5W6Bdu5rXtKZvZuVkm1Lwan2evWNL5qZuxr681LOJhNA2K4jpLz5OgEk3c95L9ruJTbJbJx++nE
GAP8GkZ+mxVmPupygJt0qVqeoAWmOCV855KjF25nqigocu+NIbgghTA6jatEN/SsjjtLKJqo0g6W
oeDVhcCLjG54vNZYDX9rbI+LNXLRn60u8fbdgGXYJ9N0yHKghBuDhWw4yt56zOOl3/HJ2Eev8+nw
pm3mrQ2YozF2pFi7ktpYyJpYI+BZQsH7oc38Y5bQ97elQyU9Iwrpg2gxpqPpFM7Jpu3mkCW11QCU
o5cgKarhmVd/8em7KW3xpiLfVcKHfASlA/rSDnw14ka12ifwHoE6QiQdHjEE0KZOCMe9yDHw88tI
VU5IR9RyM6oZb7OYCJz4ouBhlnSUuQ3d8sOOO1zEVe24+4VBktdPXDv+4zokGI8srYfmlE7BEhx5
IxvRaeRWKHdTNyf7liuWezt37juPnATIBVadlsBKynIBA0Y27LCfd+e5kLeRuRqTyAubOusuH7Xe
T0Z/sHLr0Hrmz7JYnhoRfHVm82TWQejm1qeO4we1rJJbesNO7Jyk6toHx1675gqKUYGb070pE/O5
aNxrjxl4D5FsI2cQqnPZ8v/WWHvrwZVxcJmFJnfzazSxum0t6e6rJsiOo+5oC8JUceJV5xHRSbOv
qDETNppxe+Aa9MLcnfrP0WlnfP0sb3j9oHQpn8/R8e32DTkkEkg1xjHRy9ztBRwdNg92X6V46jS7
OAJHzYXIKFkBSt4adjesoJDchg/cRnvQGCK9umU+gDU1ErH30knh5OIDjeIPQzLubv3IN56bNI73
PJ+T+JRmrs1ZC5a8JKcWC//KRgxVIpBJ91ILHqpWhm6yn/IynNgHRk9Vay8snTD2brgImy279iim
97mzOOz28o7l+rL3qNXqDpw1pm2gZonLO51msLAZ20mfXZO6A+k2h+koyE+4NgnVHbHTVbU3nfFo
+kret/D0R3p7HOpLsGi7UCBnT4uN6JflKaP4jVuYhkLCbUkpv7eDlwShVSbJdmnFAgJyhWzt4Z24
r9yz7V2mhYbvbaxlQGqs3F2my+aGkUnuWUvoKhy7uPjlsyZdPyM8nX/EK/gfCFlUS2Uv7EqQt8iJ
dM5W2+wMDv6qg3kwjbdFFuS/GzM2XtuhSYcwL1IytUkcx+HisGDMPa/bBnFuvQI0YkdlUUx5piYY
y2rWp0596lNWapsWWu4hwSJydFbRbl7luypt1QMtlBWYWysrHnwjmL8PVtk8Oav8p1chcOSnr+T8
3llFd+QIHeuKQzB+szTef7D9vflDMgdeAtcN2MkU5u+ss73XeEBiUrhpfvLJyu+9GbGQ71OuGL48
aEElanK/TQup3t22hpvuzmAstTEUAILV52zVc7isAiips+bYWbnSBIYQSLn3OQVQLWNPxwGL5o9m
VVR9drJns609YLgjf8/8b+KrM/bc9wRPlzpZe5oozHLLjiIpCg130x8Nd1VzM4+j39K4PiHEVez1
GqySJHttvXcMiWo9m/l0h+RzSenxRhZFMI4Wlx/E5H1qMdDctgrLIAtPETbBg+MvWq64tem+Nu3L
tMrRuMsoVtCxPZ6wp8ZhuwrXk+zNlzyR1aXszfZeew2G8qaEQAtUM9jnFKKHEbIlPrf5ZOgx/8Fs
inMmQDYPVgHd/6Ole6WzPCR2RZihYW3ZSpuRiKGx/VVZToTVYESYXyV6exXrM+20bD/65GpNdYxT
N7/EWffgLVF1B5MGvZ8J4Bx7xqlaVwHuuhSQ0VC/Dhx2DkXhPoo8PXCKQwpN6u5AyoSOWW8s7tQg
KYkT7BmSdeNgtuZwXdYthFz3EWReMVKsO4pi3VZkf/YW6wbDnhjS63Wrodf9hrVuOkizmodJN3dE
ocwwgBd5H6ybkWndkVjrtqT/szdZNyh2js95wpjOs5Yli17XLSyUjReOXCbGO5Yx45+9TLCuaKYG
pjGB1cTbaeVYbzpu2UTbDYWL0KR31SA/E5y5nEOGNoQFNoYl+7xDHtlfLbXFwX7IlzJMIye6ANjO
NknSBQQStPWAVF6/mElXXctKuDNvqNQL58TmOK0NCiqHfNr7XtJfdOO55Pi0puDTIC5nDPpSOrgM
kiX/HUw+274pyHfxOAeIyxaeES+1AJ2ySD80cVYcCtEbnPeTKqBCu74rk/KXjuqI7GpSXZy1UsOz
4Ij1Nk0b+dq5EePw4LnTdfds/Gi/KlYorYCbmsDTQsTj5EHpE4onda40OtKru1Z8wCWyXry19mNu
x2pfTC1pjKZqg+uQYTypBoBv3YrNFCtAU6woTZpD/S9Si+zDR0Cba6XIqewi4wrnID9AVfNfAydi
eOqJZl6MohnCZCze/CXmmSsli+GiSrdjYKl3ghksDeDZ9DWlWxs4d8xWGHcUFiXBBi4AGGqoUa6n
YhGm7bzcRY1r7qc+xhZBSUaCRXoXYcPFuDG9+ZHEJ6zn4jRrcesQhUPb4CVt1pUGre0dEnDloZ2u
iNN2pZ2Obk3bnGXyeFlZqNWU8jgCu7Axebe8pGlqE8ir0xPqLR9mVdk/C3dtPh6mJ7tvpOZdECTv
ZIxulEwue1TbLxfMxJnvthnSXFuegjQ9BM0AXq3t7zWBqAvPAma3ySjpCXEW6P30VySWxbt0Tu+s
QWoNqmAFyEYrSzZoC6K9BgtVEfB6j7m9j2hf0Z7D8ffSo+EMnKb9XrLPvrZ6TY2tDFtZLdirwXRv
O+wXXeA/W+wvtljDcSc2JnkXs6j3rqWPBjcQzWyOfYcHPvtVFbSaTn+QuvNK1/UnKl71Ut2KrGDD
MHm59xzpBk9c75UDzkXBoQYL31Euy7eUOtZ9B/SJYUwOZHXiuMSGz4p+oVII0+vsUmlSDgNxtpwq
42dcEKtrY6UJO+0KFvZjDh8C2HAEdLhY6cM01GYXfmH5wP47cU9RO8irE0PO3iRKOd+ADjtnd6zH
ewNr/UdumOo2mQ06OiGs9iik/MCWBX3O9VVzxWblfBSOaIg2ieyMj4ASD6uycV4BbhY148VkpuKR
gVKeIz+vDg098WfbdNh0xUZinijSHc4G0Yprn6r5kVigum/TgH8siYIDKLef+3I20Dac6YdyRvOz
nPpyJwx2jgdi4UTk8y7XLIer3N50SF5s6b2OH5gEsC1NIHhq97XxFvErMnAjBIOvf9lc4YdJ+pge
vZqtdQf98FJGVbeVxtAcyNRwBAkiMmVsJByz34k/EHFjpr4Xa1Vpv3oWth48T5JDJ4uU95o+nHTr
lUJ+jUZHl90Qte1jtxLN7YU/CbcIsPPIM/R5Vh5KaJ6rn5QkBMfcNO1vFGLX57iSv/A9A1bXAQVm
YMBfOLY/Fyt+vYW8sGxceyH2YVM+jzc7TJp5OAohks98Bbw3EL4RBlyOWao/1IXozmO5BHe9wqKj
+7x58cfWfxT0RoQZF80xyITYTdlaVN5k47YaeutQs+55sqbqEd9usnMkgHZiID9BgsdUHNXTNR+n
72DpCpsXlujFhgLb5hPyFfxMnkiKnE4N8p0pSeIcWen55crRJ9TUYufPDSLQWd6vH3izGchSl2zW
d0RsIPSnWeaeWdcSKZ7LEiWHU6yzj/yC6/0P8z+wCXD2WunoqcGknR9HO+iN/aLm+YD73v3yMNpT
1zpl1yaun0s7muufpFycEfuEJSvzMS49Mm81ssbDmBcyCifZTuZ2VsI8m4PCGuINi+WHigeLE8Ym
FI63FvmJDJLbiE8zaFxNJ/E0/Ag4eOU4WVvskeye/5u9M1mOG0m39LvcdSMNcMAxmPXtRQRiYnCm
SIrcwCiJxDzDHcPT3w9UlVVKXZ3Zd9Or3lVWJoOMCMDxD+d8h6vQW1iFM5G+Iw+B+ZI/lwzPZjbG
IMnjBtoJ3q85y9Oj3Xkx6y8NMWpbAqLxz7LV0QioM5/9Y1BF4O1QXAbishExs7TaiLTAHCsFUTuW
hfBo8OmyrLGI0dn6iIzqMUABU1VV/tYOIx7APncJIV8vWvl1TGiFrpOcdNwPRnB5w4ps1ivDOs0G
Ds+NUTgqwsRDyU2sH5rXG9iREb5upftsn1G1/NCWXX4RNARkkhXqPuBRHZ09ZyyehrIrnuieWkzj
qKFfly531SGtoKVem7oWKXhwdIQsP51rxV1Ge54JmYTEg6Ql2t0UGEE9T/2pZJhINO8Q9bekTUTV
hSfU0K4i1RQSblVeEjMMWyvAkUa5SXZidaj8ZBVI6Pgukfi/0QAwJObSghKyraqm+AgUQ9fQApYo
H63AQz5Xpx1nOl4+HDuxaBgdCt8ayMAe8a1uBsPBwW6ZU1XwfXb46BYmk/nRbl1WCAgK+e+rBZPH
oSftBTZg3063etHc3m7sOvo+ScUgbqYegykJwSKpSIfoiy+skwVfmDZn3FdjP3a7HJsV3JM4gbXr
RR1zPLwoFBNDxLC6GaPW2dfxOh3JhDFduVnvLWQteeqZjcd41HlSyHu3NjBTRZKULFtGLlKxhNvq
QaKzvKIqT3BTsIFA0wDSJqwxMJlbVCzS3KZUn942i3MMdp5yMMpZfp7gwx8zxugQ+CpgDVa+qLCY
BjROqBuTMIDN4d0tdup4kFej1D2RG4ypioyv8TaWscEnU7VECLtLTvoaPBXkYhRtTJwwsXzJEhAS
YQoaCjcFqv5hSxLO5J6WaozImkEMheembn4kCG/LraLhfhm7KLntbbv6MXiFenLFSGSHbvobpzcx
M4naK9KNXKYIumw5jQdlR2xMpYvT6YRMdfJPNSGsSUjYaD1u9Cj7y75F5ZlQVt0KYRP/pHRVwE03
xfMspuU6qL0Adl3bEPeZD7V8lOZsFvhIYPlvKJa9t6UlZ8ZgVM5TGu0BrNcGINxzOqy8dr/svfRD
B5qZvZV4SJb60aHkZwCN0JoxTB9cxjxvD4HsEjKdEQxOWFpG+02DzRg2thH5XPGzTHcKkwGW11wQ
GjMt6Vex1N0XP0azaQG9OTBn4JIxoWD7ISqJOD4Og1zy8zLnJjiUBnhuWNsxqTUpCCWIDUtpi0M5
mRRWBplDt7L1SvuMUAjq4eBKUZwMkeKlNnRLUpsZxVNE7M0AtSqxyuAM5ZNZvT8bHGxDjgC2mAd5
odLBLi9MlypxR6/GxT1m1PuhK5X5msq17CS9cnwg8rWyt0mtuCtMGnfuOVUiluo1R/2I9PYNUDYf
ZQ24jqtlgPZDjEZPuRpNHfFGXUkiiD8E4sZmgyoYSFiUVs3swmvCW89b6Lgr9dYFGAXc4vN6N/04
eUf5I9ydQ5t3LXiTdtho1pw+Ltl4O6mufu3lCNG4HV3E3lE/FA/Mc/03ELv564yCdiK2zS6eBEVn
w82a20+Yp1DYqAqtdhl7uGSbYdI3Prffutf3pmcL1e4Y9nD4spOZos69yPsVLemVInd3CVYuucni
KMOCa8fmtdNV8lukGTyXOGnNLckufHWJNZnJwRslNkc8ABadQRVgLLKdqGLSPdvkmPk11WvWGuUl
S0zSSAOUztdO0PLWVGECsx469PukbLg7WIqxTRAUKAmueCsaTqYQ/Xgg+MCeDqZckBj0HRYTOMfa
KXbo4eZ+W+pmrCHXcDSiQl4KzDGlaG+qIODM4yGsQuYcU7SnwSmrSzKaxsvegWZBMNzgLV/xmNTf
Zw+5NLwLeKlnSX803fVJFVOeYtSDVo5KkBQ1v24fxwGdGaaqmkUHzFNf33+useYS/efJXFKH/F22
YN/qfgyudYaaYt+TolzRvYuYtS3C7oc8w4+An2Oll3GzEXGYKGSkzuyRbZX7w32QMjc5+fD+6l0a
xO99gIDbrmNqujp1ghOOE4T86DSHJymjZQo71dnER+TEhm2xM3D5AjIaL8n9Dpp901fBQRo+Q/6B
KT95OT1OrkPiFjEIKaASkSWq6Jz7Qen+UF6fzLdZMLTxdecO3LyynJbh0px0yx3IoESc+xx43rHW
A7tE+me7ICVwiJYQpSAWOjQh3UdXGzGW4MXInxq7NefzOOUiegEduLQYdaaoONm91Q1vZmrmy5OI
1urAt0bPJwlO4zvwmVG0D06UoQRKSM1rrCFQW5e8CidkApSuYY7MfXTU8sxgiZImJ7hxKe3l2Kh8
IL6GJ8U3Z0nSZdlMY1eqW6byWX+H/kk8LmqBc923gT3hr+vxEPqtVPJGoXClmgNi4iNwzCtL3CP9
zvfE+FrPXpEv3+PUjK7kUlu0v1KeuzRenh1Zp1TYfX/vxUuN0hGtjIxdtjmDC8iDcummFWkXisYy
icuKFu+SYo7fJBpThaxlvQfHdofveenFXD5B6h3MJGlvWWQX71bT6Y9+iaeUu2qOwqXQ2D+zJgvO
oyr9s9u0bgfhdxzTrUG8wnaMo/nZMwHY97hiBxEg1c7xAb1OeFZeenIJHg1K39AbuBRw4rYhFGP5
XqYlSjASGMSVnrPh5OnKvEkcvP3HBPGCuBgjgMIwQxqCzutsOHIYyCNtFWgPRiX1tyZpXA5wtTq0
ZlLjeA61yZu9OBlYw4kJABT0s2s75NQh39i6lhFcYMFgdTjl3nUSNESSwxz3t9gxohz1nXQMFiGR
dSjBiD8kqYFgC7+36WyIvU6u/MWZjgUTwjcx9MkWGll+wx3UGKGXFBSVXtKr76MdFMwNWUWx9dbZ
5YDcTGxzxigte+kUW19MpwtYpA3yHTkqyc3CvBWqWNOzW5XxXG0cq4GGINqofFhkkXywzOawszQd
W1KaZrZlpNzY267Egp/oZBg3OPEc7KlZdTEOjd2HbY44vS1UzdeKji5DSnmaAyBFme+rF/Kpi1C1
qrtEKBifrLpgOWZFz8CuK549ECIIbLHqGoZCNnbPM251P3UyYt/0oyfRJhoa/+3MRItAT3++wXqe
E39JzOR9PYAJ9YjjAbbgse7rol5eDKs1FUaI+pIgPn6bi9WdgcbilmEqF/4yttUe3L+Jj7bl2gji
lODYCOHLlj8NV3hQi+hUeCaw6QhP2t5zG7cOg5Kg0W+l3UN7IyHe113TbY0s7Q7JMva4E/iFIcrG
zN2MdMewfuWDOfnlJVKSesPK2veARWTOEeBDw7qaRv/WUfM8bkC71MS7NMGJBrnAvy/LcMiVYMhW
Eb0pySe1t84YBOesUvUrYj+eYmS81Y9j43vX6ZLNL7DkxI5AaaSLDOifK8sYmehCjQM81DGwsHMz
TfYKXBi75LI4S0Bh15Cz3Xgfm6ILR6P5MDyhj7JqhiJcNULb/wFqa+arjtARGwFzUeXg4OVjhx4k
UzKYVBzVF1nKUArdfbwtgIT8DXzxV3EO2g5IncQre0gSBHjWFcz+ZxFKx3lpVk3CmYtaPAL+Zsvz
givuO1YF9m1m6d1kRPYkfyPN+VUl9flrJYIStF8m2G9P/vZrK5VOclmzq7rK8PxNWcxOFBbMvDlS
S5/mwMML9je/0/od/yjWFBgXs67HXsf0wHH/9mZ7aOplwfZ50M46zcTqzx7K5PCC2yiHbp9Mo/oy
RRDMKouaGjWEnx1Z+tPxaVLgh10yu+Y3GAWBpoFKTZpXr5+aZykGaZxcg4k5lt8gq+U31s3U0I10
so8SIFHG8ttHpiLNivpgzqzhO5lErIAUQFWLJ3NQlUdZ1NVdxlgDvlix2NfaatSjT5c7bktkyPZd
jaYdHZCpmuGYqFID5MrGGQvTGHltaA2S9RyxbFb7jUTVVUJiNDmnKDcdozJ8zl+CVLFBbbPBOJnR
DKpsGMe22XquXk7Srtx7PLkFtxa9wrdxGnnWJRPRqgml1d42KC4Bnzm2E+J8XygLjRI7ITIsECld
AsLi5KemTsK5r+aTW4BI2Eww7Tg9ca9fWLnbsjehv35GaNhWYSNrxJyVn1JrTBNuWjZW6QuhVEIe
0kwT9uxE1vy98MGjgxOYVIvDdOrNXYZ12CLdYnHDoWESTRdZTxwBTMcwIWS2ak9FOTQ53UzO4Djw
uu5M0C6PGX8ZswIJUYfiJfbqOQ+bJiA2IjGg+cT4NMjFQLuLZdgdFDJpwn0ZC1h5wPGNbkZu5kJ1
F/BnzGDfTjMEtWA2p/+vQv0pHf0yN+//+R/fa1UN3Xz/Dg6u+rOqVKx5Tv9nGequh51V/aJD/fyJ
n0JU5w9klxaQaZ7EHkO5PwlRLf8Pi5gFfw0X+EySQIH4z3Ao+w+PjSBCk8BDpGg5/KseuXLyn/8h
vD8QcHJecDphEJHWf0uIav0qomMO63pUOvRsAYpUD03qr2fP6KsuTlokaJLAGC742CBT1TMq196q
psTxGuc9NMCRxOQNerBJhRM3pQrhaVEjD2jbEHZS16hQRDLodk6BK4w2JfW7HcNzOtl6Ruoa1ibJ
pjxLx8S//9On/e9kprz3X5SAvAnbsdFsOZ4lBLJe8dubQHlGznWhPzCp+fqOX6oh1gbjwJN+CAgv
AlnFysSdZ+SABjaGCPEay2rhvEeBKOKXqIqUfXC70sblwRY0f46JMLdCEm6owfMZq7qlbVu9KSTH
4OpaC3wImifwkLLxSNHWhVTu3koX0T1ApQmISSxsDBteDF9ywjWmGSc4sj8sehWTT2zkCcd1WyYb
1VICBA8KBHrc3aUOU8LdWyxaTXtr4KMDHEnYpRWabYYoJTGziTVrRhxx2ALAeUzcua22cZlG3QHr
dPVhV31ikwUqsvY6BVT04tP1WuCtZ8akSTdRn450shtGcbheNWSdhBl/uqhditCkCJvaMMWOF7mM
utghfAgzw/2IeyTa2FMzvxiCp1M49VoZD0uLbG+fIYdxL2ZAPjO9apZ+SZnU7mK3SNndV/HM2eVT
Q0IrwJAY9sPUTq/8NE861Ux6/JIEtWvcBTA9gMFFeI23LGjN+wy7hbzSxA/Ne3vo2X1DCeeR2PZR
+zKYuDWoD3vmZMmsux80S5H3kLDPKjdsSJrliIcUnmbG4+JFVmlBfL0/W/G2meJkuVW21ebkxNJd
bGQLa2WzpFaQEvtlJRdy1IOi3/e869hkGXnvLa1OwyhLeRdDJpqXmgaA9IYxEncj4lQ0vDFWP9YD
C2FCWif0CQFrWp5KemqvhwSrOsub3plDSKZtubOlNnkYABgl1RLpzIUn2pRxr1n4XxWtehBq7UQr
f0zB26nIi94UTkPtLSPmGSdCMibGaczc2pcxLbOPukkKtJKVE1s/atnhkx6SJWPSUBsTfu3KebNa
ny/JF3KM9oxZSDFjgp3OQGhU1oYd91SyM2uQ6I+NzMdvos6U2NTCBATbF4u5hGkeNQM1aaTEDWGy
vFg8WbyYk9YwnnFGVNz3bWrQj25a3hifrl7c6AwmmgOEnt239p+DC/y2psWEYtTGQ+EMvnPyDYub
bbD8hUdbWfKi7Bqp7VDXTbcTOPHZQVy23orD0Gk6jizTvEQjoVu+TvU6ckzI8MgyqCv2xPRlQBFZ
/nByGzQBLg41GQSL5GlN+lsjkyB4wgbF3i5M0W9YiDOm5sXvc8bGhCvqaP/zckX+FcmvyiKxKiwN
FB3bnxddNyYl6MUGqWsoekb+lwltO3eHS8u2zXogUk6sZeh8Coe7VUMsGLC4J8AAiHzjGZUxvOD+
js/ETjcpvcoLC+P8Uq7KZNcaMTcVzGq/TcbILK2K6h/ZqmgWq7Y5WVXOTDkkvB4qdexqFO2xT/0e
l9VHrKYuXD6L+xUIfO2RW48U8rMFyD7bAagttAa4mHEgZZH5PGnwmxLJ8w64xfwyrX3FakR6DDQc
AB4Hcf2KNwix38zmeEtOPI2JWnsUVUVliLmG1cNnB7P2MmxIaWtAtmS39mezM2e+TUjs2gIBfE4e
C3ojP8EGxzdFfPDWMfUw3PliVIQK8Qr0KLGHCbCRPb2Goh4Hf4ZmNRSfDVr/2axR9dC4zWsP11je
fJ/XnZGERNHJWxe70qXlN3wHaxuo1oawX1vDeW0S/c9+sVlbx1jSRLJeo58ELwgMbG0yY7ZjO39t
PINieMwZI1zPYv4w1+aU8Oy1T/3sWfGv07/qso6eGW8+qKWLT8Pa5vLui1D7Sr0AnVjnhrTDecCI
v1lb5GZtlvVn34yTt7qgrIRf9NlXGxPi3fqz24Y7zZ2Loo0ufFkbcnNtzVU9lw+c2ARRN1HgVpts
bePNz46+WZv78bPPH9u2gx3IaoTzYp0EJDwTxJYeKrtcAidOtv46O/A/xwjL50gBlVn0Rk63fQTK
K14ZEMN6BQ7Ufks/5xIRYPOHFmbJwUzj1sCoKBB5YOtknhE4mdjVsQtHoyhAhdIjHThJ1GXJUnjL
zDG+EI7fHovKW171XJFZp4QqmVeuA5XYZLbCoxEpR94O6ZEw7eFYrlMYHJEMZAa/cqBLfA5qihLV
+obhIAkv05DrHwaK4Hc30R+RuXRX5KJgll4HQPM6CgLM7L0a/jQCrOmbb0M1AtPNVudzZ0bon2NP
W2HKdcGvygPvnH0Oncx1/uSskyiG2wylOkyz74ja+w9EZO0tJ3zLgoF775qOdfhuWYP3oBhYghNZ
R171Ov1SlbM0IamLxdaOhH/H0sl7K7u5vcsIab7nwCx3eCKW59xaU1z8xOK0aVCMrxO4fp3FKSqu
vej74U7SKm4bkHob9Kt1CFsqBu8YpQzyGy/o+utSJMuXBRQzts3cX8uxvmv0Mce4F7zUFJV0BwWo
912WW3jVLJTITP8zPV8ldeS+5PnCzS7ghROdxx4f3KMlOlR5qvigu4OJT3Zx/+R35MFsOA78AhA6
q7eNiJDqJOkg9mT9aLDNzJ4UT1ouok3lVra3R3QysZVPjfw5dxmt7od80WdHVoRUNGyuD4jzId22
nkbdUrdwe+7m2u9ZoZTM67K4vlhgHUwbifnHJQnTBfqZWB6QpgWiQ7mD1qwYeUx8B/6jDqwZj2EF
sJHgbK9eZRqZ9L+Klj96O5kyk2EpJ7rcSDhxgWxWQ1+jCMrD2uHmYjvJoAvMTWW8C08hEwXrCIUj
LmZI4tIgk0/jRdiPUxQvpBroNOBx13B2W4ZHx20iPkSq2AfqktZRMZOMul6FfUvDfD96eNcx1KMi
2Pk8N3u2cxYCQKbd1quyPfyEil6NLbTjNAcMU67BM8DU+LFJgE923aIbdYtOGCUNABQ0h000i+Ei
lgqtEDh6O78MsqD/ms5Oc8cTGRwXItMaZRRVR8ZmOeXJNXdN80OxMCoOJgs2ccgnVNV7b7J5fBS4
gI52hqH9kGnkBJCFvWarF8Q+m3GUKM5726RqZWTtErvdOizw0kCTWjh6Jb0vOgIWf3lwLhsV+DtB
gdeHqhrN47z2HRwmqXueI4Ad2xQ/7NGO4uz+54rIaRz5QXF07ZaZ1fIZita7sGw8YhvPXVjzBE3Q
T1ySqVHujWjCUAor6Fz2fuMcTJSLOfO0PnfONfLtbofdgUlDAL8SkTh1xovXxJG/cZj8Xa+uILnV
U33nRNgEQlOZAdK7xqTomLQ9sQE1KMVQiDszitd85mYvaN0AxfYU6wtlwFtXxcMDpqJV6dh3+VVH
1OQ7O+F+Dw123rIHntLdlLnGdV6UzSup1AHdUVLw84h8XGz4ToMANR10BpWKwSbzrbqZyUtfUhc4
dA8fG754TYs/stklNbYcmdGXZK+22KxiYW/UIg14hZnfhouShnVB40MEfUMwzROmc3IM8ID4X8ey
i8NUOtBLxiT1n1rbxGS+9Jw928ENmlOmE/sCFLgPP6Nkz7/t3Io/M7Fr8eSzLr4MqonPf7YHuW6o
M+/SZXFHjoSpnEd7yOsXp2jQFw5B9uqkNsU88qvpB8ra9s5v4RDxjpPIOSk0NKdKYCaHJG1W+RaX
hfkaIS3uN+NnE5AU1iQu0ZI8ZbHtR+DgF6TbehlrlCb+CJMeSROSdx1FI0AYK/qwwd6eWa9MJ57/
/smy/eEy6KuarHsD8FNYJvZihwqverVWfwj+F2Evz4nVLU/KmpWzs1y1PHi68whdDdjCFsBPfgg7
qgeMvhMKV58rjNgLhxDf9bCQVmfDv3V0f+xE3D1Qfq9cEjQnPvqJY4PaNWe7ikOYDz6/CoRfo3bG
PdV4XnJCmPlDugPYEXQLJ2469C5YV3Dcd2bJlzyQJgIYnCA6v0nunFRm751TOh8Ke+B9GaRAkyYQ
NzExkDvSW+xQeGjctijiANeD1fZuXW7f9wja/so8MO2vA7udZltD9bDRS48FE/9u9l6IGbF16Pbm
vDHW/ssfLZd/rqHx3mgREKaS1MN+ZXmwLyG8fVNMGo+HXWEi0sKpLkCGrQtZ1LozPSXpwN5AEHNs
kI9rTrcmlcchC7rnlJyiR8vA/y46AKipaYvjsnIuCNm6cYxWfJXN2JDx3o7J2cKIYu8oTrqDO4vq
Vhg2bE2udpbskzMphI9Fjyff0o8T3NqDF1PAt6a9r9kJ3vSDQEEb9XZwyX70R02ExbLJowQv2hIs
5Zmk6ew4aICD2yhWqDmCVPgXKc7GE0+f92SM4x+u0erjnFj2zudQJc2+NtxLMwP/GuLeTOvtIDOG
oQMu73tOyeKqZHm+Q4MdcEQ0XJ0864M1+4ZsrD3Wf/drzW4TMn+chTbSxDAgPm5b0vhtW8ADt2WK
ZDOxR301LsW7HPgpjaXm1Ll2cXYygw1q5G7RApQOUiqjfPfZge9SD4dGUPTuQoVXd6j0oQTKQ0Ki
97XDiu6uiqL8gCgc5rURE5zdIxwGVOMl5G0AjiM8ZGgb/FQBTDAwL9TXUU+ATgZH6MIcIn0n+upt
iZvpgvJiOOZwHy8L5aGjsn3nRpR98aTLRJMagYuKZzMP+ucxm+YD0h9CGy0xQPbwA1Kg7QJEEGqv
5RQ1sB+PUzUG3xxwGOQRmKRFNDYA/Abc23BGQhXh0AOoHLDRy/RHAbrx2rOoajgncXRtgOblh9Fw
52/e6BQ3PRo7dYGcSN/2nsFNRJYaxz2Luu6HOSUdBXM+AMYrB5swLXpCp1NWdcBwMH2L8srHCEHV
wd2LvZlwI4MGhct4ISagg1iFiy9VD0hVDbDKNoanxJTRFmJdPfJENOHFw/9wdj3Ou30biRenba1z
lWFNKitr2CNly9z9ZBiv5mR6B6HRfltZNp2ZVMenif4DUYsB0VfNPFu7bNAbP7eiUzsn9AbWUM3H
zrOtx2nwVpaI4cp85w78zZNrWc+NXwFPYcs1MY4K8ltY5+2rjCsXjUne118IhvnSAYy8KSbX607g
KLhxMD+o7EtX6RKmeaDIjVaopW9JazKim1lqf6tR/D5VZtHtfNccUTvH+bKfcMy6dCvmjE4sK+6p
B/HTjLYgPN6S3bdcVt2bgsnBxKzV36dxyLsQkjvoNqM46LKAIpqB4MDcMjoXk24bNijauOYB2H5T
Fk4zKD4tezsNX8JdRnElaP1r+N0dqngku6eaJumu1FhWvMJfQg8G87clHZp5y6M3OFlJec4JPMK7
GCVHC//IaVJLckSXxuOPYh2whav89240UVJIj6YtHFaPHcAiIkgOk+kud96i1VfsfaRZKdEPtzP6
v32dDK88jssHIOMwu/OyuC3n5KR4twdlKG501Evq3cGRJS+WbFhMbAc4TXctKlnUd7L96pfDdZOJ
clczv91OYKq+pnFl3sP3g2my5IIBmpm+BHnfHGHoMS/0jAeSsSYWpxBDj9TMAZ5D26Dapk9mh4CD
4JJ46xzuIxJeu4vcV6NMCU4gA/Iq41saoGxn4eBGGgk5NMATs54BK5mYTypxjPsedPOJmkdyK9j3
6NjUBUO/eAs+v9sTPeBcRQ7IwTr1jGQnlgE1aIAnBnOij6Bm60mVXptdYL1Eispu7Osu2ilsl+eg
1hOzuaZ69RIomYi7P2AajRjBivRJFLaisIJbNwQyu5iCpLvC3udeY4Z4XLDFbvH1/PBq3/wi+547
iHjW6qbAFOWMU/80EG6RXmI1H556RxoXbeUPLz48bVRndl6L24w6YnqtpB8zhPVWBzQR45kK6Ydc
xl1jGqPcwZrCe2TUhzk2XUqGqV7BkydMzLb/4qGW0xucAMDw5nUSFDmp2R4SWzO4bBFwobsbatPY
pGQwPALfVmGrE1RBcaKds1GZ/Ac09u4t6ugSK0SCmdCt2DexpaljuYYyMB7QNCNliOKhbc6kj0eo
AROKKoRw+Zju5GRNDatqFSDdGTqOmcnxaLr4Tn2GT0mZ67+xz/+7iTl0BklBiReAJcCvY38YbNEo
7OCdJehMkoIy5XFenCTfzkiHiXhREYjmqJuvvRzp8F8P7P+3lYMN3knYLvwF1/R8Fhi/7HZ9V/cw
85c3v8Zzkga2OsSzlYULQ9cwtVp1xKql7o0od3COK8Pc//WvFyte4V+AA5a83pqxLKQJ1Yct5uc2
4U9pe0syyZlcDpbbCWb0vRtbDqfe4lME/5xBdiRdO6cgcpKvqVEP5AKhr2Jqb8Xiu0ygQG2LRqZO
KJgmoKQraK73BICo1yrjW6NciqKToVGQ7oAaOAep8qIJW6qzFHMyziKYPSIydtKhs/65owPgEr/X
/2YZIn79cEmrNm2bMMFVUAsIAM3Srx+uTNzYjNyBADDdko9HGsT2p1KRkja4ouxRhCpaMCcjBDJv
jVnR/3pel0c7UirJbhmDClxYbbrBDWBCO0Qxkz2IaRpmhqCWfAgUySGuqpbiGplQlREcKKouNM3R
ugI2522ZYTDn8Wc7Y4lJNgz45k72OxJounvYgwjk//rrtFZOx5+/Tt4xuzVXeKhXCU/0f8NAFAYi
VFkXP4ZP7anNmI6HXk0+FvJW0622uL9bvc/Tqb4i/GNKD7JmUMBDhOfw0NrJ9DfShd+2UetXADgD
CYFgH+UK2/vt+i4dh7gTC+//MFI4nWrVGA9ZFlQeTm4rasMJS9CjbjX0eYKfonQ3SsCVl0FQIfKS
eOXVBmMpvYQVy+CjSvwM21lputeendvWXjV5+dGliGzPsmnLKwS0bfFgjv5EQbBO5C3faV5E08sv
UjFg2sxIeSjP1v/X0LJhumRqUMVzrFMdxoafF3usTlzgNdK4jal76g3Z13g5JAgu1uYYBMh2Ye8S
k0Bg4/5BI9hzReuK9rLgKZLwkqMzk6/G0u1rUJEftCk+R+aidOz4WHmqPRLCC/ydPRWVD8a8aFf7
lGDM5cGM7FjvA4WvvJKIFPhl627IEPnljI3usQ9mRhiy5mG9ybMOlbkug6vCxDW1rQR69p09lJy3
EpMf1BI+XdAJlmI++jdX2q/3FmtG36PUDQRWar441/nt0Ew8mRiTywpqMa0k2WEU8tg8oEydv0eQ
vPWX5hOCkpjBelqg/PmWEaPcY3BhLbIbO8Vgl2EBwHb0xVN+ihSkgLOqY1ClMhGoS0EcI2evF8Qp
KyvANi7/5i38evbxFlbcDOQb34fHIwPnt02pgWmFLZiDQM+KclIyu4QFmlFVAtG5Zqy/G/DCFPRY
OcvgpPLZ4mJXXXe8xjQ+OX1eloelMyYdWp/rXqM13OL2v/9H+pB5JO0SDyf+zl/PMNumSvMixC0u
hjZ9iGzDrc/A7fm7qPjvhmRM3wPcVlDA84UP+XP9HNQBEyDRxsiNCdFLmRN7CGrZO8gl+Jun5yoA
+NOZI/GQrGxP4UvfwjWCvOrXv5CNWNJEiN/wOxSBvv/5tO5FD6TEWtWC1xQcHEPQBaRGxA0l5xRP
PWdmQAbUBB1iHizGalNO31G0FZcLcTVcKbiRrPlcpq0NyXsYEVle/fVna6+f3b9Oy/UvJxcaDBQH
pjQdYf52WjYZUmNSSfONAITjHO18LvzXIm4bvTNmKoK3En1+gSwscfIrgPCxBR+JSIHreHbr5Azk
KZZHkCsRC3CRpMWe3Xkfhyj7nQWMCmkVTbaukRkhJnI7DrNYhbw4I8gGdRG6wJx19iA19LRql/Es
ehiiDoZfl6SAcwt8MGrJ7m3TZkmDCJxd0ETO6luTjP54N6JJ/xJMpCds7GFo6r+5O8R6Mv/64SAK
4iAEyhTwv+RvNzhSVKv02AYDg0qm5NpIfWYiakgXkKk0W/UOHJRjX/UUCPGuS1MkU0vgxvnFT/kU
xnzvhrVhjz+yQtuBWks6zZHqK8/OpjsDhYGhjZEVSYhYxZOKna9fxryMmJDe01pVnKCh36nMf2vg
FiwnxrXZVzaD5vzlr6+EXw8zqiAXWw3SrvViMJ2forQ/VUH/kviVq3qP1jve8owsTqVZNhek+TBI
xDxIE7Jq/+ZPGeDnH/D/DGq3/qLvTEcRIidD/7/+5z9+cfg2vP3yDxCKwMPdqfdV29OrYvgnt239
L/9v/+U/IHP/VArxkhXaoT+rhCxTriqdv9AJ4WZofpEJ/eNHfgqFXPcP22Oj43CHmha7DL6wfxDr
hPMH7b2JyhuZCwW7S1H3D6GQZ6EhIpIjQCMkkS76/xIK2c4fgfBQHvEDUDYcIf47xDpe9debw3EE
GyOuFsRHXC2O/O3MK9B8soW1PBb1tddZ1zj2mri5KVTb4Ti21rmuBd+yzkAkoIXy6UmJnl8YOFS2
haJ+o8BuBPYJCgpHJo5YhrXbfp1A3puzXy40e8D9n2p2qNmHGS/p8iRrxHHslH7+fJ3Vnr63+q5y
r2eNLZ8ZepoO+Vuaaotpfeni6kRAnhS8SsGQ8wytx+RfdNrkhWXXrRJHY2nzNy8SiIPhr9rWdAZa
UPvTbqqmzr2OmFLwK3/+A70haKcdPqz1z8gcVqFn/AkzN7giSpqX5mfXt6Gw2WYfP09vBDMN//WY
G/yi0lLLfLQZ/uuPeRk56BMTbkl9soaFBwTk0pS3IbJ5XTcMYi4ntY5LkQMwpnfFf1F2Zrtx49C6
fiIBmofbKld5iuPYmX0jdDodSaQmSqJE8enPR1f2QSf7II2DBtqIXYMGilz81z+sz/3rSfl50vI1
VqdclWlFJr5ec3J0C7Cqa+Vf9MQG8UPP9OreWoK3OGhYzMn6XOqE1ag1JZyBY6twlguYffUofuAB
5S4aSDUvm0MIhT9Q+83EnfmJLol2iUnK5U1CJKjCri7nVugEtok3av6PEzdnYPWSzmehIubEQ9y2
fFhRrtwBAYAs/0IP14sfcSEw2SOIqeO15Ke2fOBIOKrdMLAo3bVFO47uEAe0bgz9QxbRm0apj/c9
RwAdzvA3FY5b/t1G1Pn5yccG639GiY6zyo2Fy0mKslo0Xto5Td3wtq98r32s/IVldU+lX3wYWLJH
ki0bjo5tFIsunXJUm1TKwo1jmutciZQ8LIXJzerRUArZtnAAs19Af2PXUxC0m0meZeSDC9lg26H2
Qp8jvXxeoLp1RkBH16qmbYvtUfr25wtwm3LnnmRFK/Kz9Dx/RhF1GaUxGlceK4JQII1eXe6oMP4o
DTzSSFPETKbnxtWvA3zpRM1JR13E4RIMg/MeWLSy8pNqpULU25Z7uZ7BSt2jd7kxU6W1iO5EpNg0
kTuM79pwTzNOcB+GcHe3g8wFBkIMdAOnNi3JSgo+VTFpYd/REHMeo0RO/WNThKjKw+XULp/t+6XH
hYhWqwB3LpfPC3Q/EibWxlP9HZCUpxPvOv4+Zt6ESn7GEgiJ2iFZYfAFZzuDRS1HzrziSEZ25Wo8
L2MtaC38a+J9d1nR/+hMib1nCsc88Ym9D6mDf6uCwHrKTdRg+jVCz+QLV4p904UCZFyuDW1yDsZ8
ZCSvkJsEFl/oosMNst/BiyVTFo5pU/ioFRhJ8PNXBXAuePOfD/W3SjN2Rxq7ZxWCI1N8+ttmcuhH
WXYK38fLMapRsZUImohtOUxjTF1Oqo2iGPxSu6v25y//rR5ijmfH4EwyYWkEOKX+NuX3xo5EGHRs
s6CkpXf4hTrN8vzKUg/6sDIfEXFQJ/75W39faJxrKA6pSZLhxJoXgcOu/lWZQPAqiTtwcXeMTEJj
f96RXKmdy2/mfeeXf/7KV8zpX5UfX5bmbOrAEVJqP9bRX79TyjRvYVrN+HvVUfqeLEqC//CUJnPo
RxGWWXmfFsWiMShbEd9+RnebL6jYBWhn96YJDBhxNS5o5uagYQs7zYIxklXKHepE86Lyj2yFR5KG
/uPAw99W5SRxOznsRAE+0EAlvx04fWPMrXziqYoV86cvEl+o8l7jhVbe5yMJNI+ZpqqfYIgKdv75
UBYRosUE5yUC27ax/5CkvYUyNxItmPwH0EeF8Us9zehBfoQJLyMXFnTxWm//+04iqd2wpRuOnUU4
ADNMoq2sEfibmDSJSmKR9RgLn0sF96tpY5SotEfeNwmCrdsA7VZ806VEun60rHXrM9QwVryiHv35
radTThRfu31+qzLrxkkRDTyl+GyW7UnOfbIt1w1gH3/JdiTO5z9feTf2fxkxYJfQT4qMp5PdQvHb
swFvK6hqsfZHqC4QhucqEM2Tz/xe/tct/hXgcs9ggBqlKCjXQZP+1y3Gy5NQi5YgWY1UY31u20Cg
v5dh42HeTQM8VN+qfOEqoYQqto/7uKX8IY+hzH4upKybJzo4k3n58/n/r7kB/YefhTnPKNtIsJFf
n5gGXztfALkcI7Lfg49jobzlR437aXk7Nms1PmS2itLHP3/p73T1OHHTEbumMGIH62PP9eu3JoPd
qmxCN0alk7dvia3x7c2GXns+I+ImzwRjFEuLI4YzcROBA8zvKr8fEMKXO+3VU5sBtZ2IxYn3H5bM
SFwQZDqnydVqQrcMNpFovPclVOH2rUyanPQ06s36P07j170XdzRDtwMKHnLhwKBz99z867mAisL3
W7KR631s7YcJOuqEFAuPZntTrDEG7sjMoJ28hTC6JV/XbKssrNoF3Pb0Hxf098HloIwQ+jxWCKyG
CBF+PRQ/a/eyaywK+64Nk/TQAEqvz5tJoXdjdSJ4KIumZGoQW8/KQwZeTaLj4DOevLADJidiRf7/
ybCS2B1UissiKvL0/zGp4UaBsA8/i6PB4xdIAfMNy8ITlLXYigNUBkb2FEYTc8l/XA7/98WH1kTM
/j9E/xPTJfj9emiZKSAAkvJ8eiRV8kg2PFZjtCRSOXhHfBvJ2DiM60oe5423YXhV0AaASns3wbaa
+1MDcV+SO5BMFKFdhllCywUUC279nUwA/I7SC7V9F7SQ6zL08msUfCDPV2FbiE65xqinybboQ4ON
jOtLBfuwX49FLZOvMrRE/V51bBPz68Tfx/RmI64i/JihFCRuAhAU6500C033Tbfxnj7uCmW2C4Qh
2gaCciKzBnMq1dHIOJSBJebjGPik2g63tcElhchH8sB9xNXlTBTPTu9bnbRvqiW/KgcPLfcxbzzE
1HcDgU/edJ0vuCySgbtF2/SQp6Iuz1mq+hIzKJGWzYfJLl79TzgOeJZcdX6t4+IklkFm9xMvQJ1F
Kopa76nSpPrBYqBxgqqISpFX1pgp/ButWlp8ywzkyAeJWAunZlNVo/17infPuT1geOn4ZJMAUxFZ
j+RKDoFeXqIY3cCXsVz66NErthWBdcNshIxeQPAuw2NImlf5vZfdThwtW9cluQ57u9QtuObMTTus
pEb41+NSdAMGpZEDnpDKICUmFmj2c4gmYQ5Nq13cWnuYJvxnPpOFUHu3JI8QWVLq1rfmaD0u/rdi
g1HzVa9SieSavRY2wkewZLSoOCkiWSdyhAAYf7iCxZ6aD6rCq4UM9j6NcZdjsRz37rCHW9hgQhcu
SSmu8xmOQnf0mRGm/1jYoshVv/9e2ignmKEKOBQ0B52w5tc5gQtUVySUsQsGoU6+jB4GFiSHiFQ+
zA3GM9cih3mKY9/osawKpKWs5m3ip2qhlzTmrMs2NFA/ZYUro4fEpLixJJBF+JYvvoye8D5wMgF/
8aasPgcj8WYo/ac+sohk+3z4COTYbn93TdHhqxXlBAaeiNrBAuOmmqN9v0V/x7pfUMeYjxIrLdyc
15Ht9f0qutgHJoYLVJ89YtIMIfLYiUHT1DZi17phPB+Md/5uaLDgXrH1EJpwYKcECZfVPOMG1/TT
GcEt1kfoszG0aHFobwEVDhjv0Lk2MXGXAt0djyNeNGYJgnfMCs7FcWj0iFZhr1Fc3GMvv+sf1g5i
g3MRi2F9uIgw5r0y0a1ZGlyjr8N2yPbyTs01hY8WUJqe6x0M/xY+iXb7ECWQ2/eJ9CAHYPZQQeBT
iKgLOOwBDLy7BN/amoffxyADLgePeIkxAUzNFD3l0CCKJP2XeXrEh6x5gzOKs7eJyjSgLuqSzNUQ
K5JYruCgJxh+x9J4i3npVki1b1F7DuYelzK8vo6Uej13XSyQX54XyPTAC01NSw2+c1sjlUgF2/Xr
pp6ogLEKQOZTvKoqPNxvuCzjgrk6Vs5YKuwjNoO4lrc3I02A9O6nbgNuXcsEXwZ4n5yNha2IG21Q
014tymrlamcKozGyrrqFvWQI8KW+QbMNG/8cobVnrWqYGwmbJoipJkqgT8dtbD8wL07ZR+LGefIO
xRqOmbhpjdhZ7qDh4c/U7rUSP6yHwhPOSxRAKRB7bviHnsfVvGTQ6lXzDyBM2zyFI+HY56rGdeY5
sinbn5ngM4ZbQ32/To+X+hS7BBapRWA98p5peI6Sg2kahHCmtnGMRQbJXeRw1hSNXbpT0FbNirD+
WCDj5qxHrJLkZ0U3l5Yq0gNGrvXKLL0DfWCIoIG389tyLdCsQGoOMeIeCWUcb1excNswJ+KOkwIW
qW+g3ByCLdTO9VNZSq0q59zM5LYzqgkvtchyL5s5/HeahoRAV1mrCY0whD3miBvT9V77HRtW472v
fMuWqALC4Znvtp2Ke8XBnPta+jN/kcuMFBjSTy/3Y2ayku1GMiJmxrYAlnXyBTQ6Az/BLoi9K/sx
V8suryPUTkymH9JgGfO7vWFuONnSShGhAGnH6C6qNTPL9vqIdG21ys95NA/Osc+fXZEQRAtTk9fS
/7it2IuszwMJP/2HGper5d5kPunFB1Y2hfOBeNUdkYTtttGXrRHcKw6/nyvOiDWK/RP5R1Q5xNpz
QpqVTOyw8UMGY5fAXH0vR1awa4pIdwzQtzPOlB1ixKFgDcFFHcOBgeJxu+ObHdRXfStnJEg/Ir+Z
kD4NYuaNXhhYps0ei0HvfWT57Q+jYm7uMNR8b4ObOX2YNeR0m1wyTvahRbOk9xZ4ot7ChOHX7hwt
PYOg6TDiHSbxcBFoTbp53S+VVn2j3bEynfTx7KnhlCmY+987J6p6CgSkeHVcw0DgVPk6yGBAk6J6
bYUMkXVvfjy8jVOovbCt1y6EYJvqGYcNCh35QGQHq4NkJdIvkQ8Y/MQek0ejjEZmtM3g6vG1CVUk
37dJskT4s4/T6j33OxlihP1uOHgvUBSSigefHQV9XC/s3aM549Ei3gAyDsGzighy/9TAU8UPfZqa
qb5qVk/l79h6Iv0Ejd1F8B41kZLX0b6Z7FqOMQjZgYz3Tp7nAX7vU1hyMW+oIF1RG1YNF9lOdKVv
NH1smPa4i2xvMx3W6nOspCKUbqehe9vU2CEBQmfLoO0RvcTMdcT5RAQMnd4305dqagum0Z+4CClA
zZOYA4b3itOL976ICoPYDHbYpqoTPphjNF418w5BaZw3HtHIQ+r1cdrrogSMxsbsy4V3RFzypP+S
9PM6giBUWmEfvg888sTOUoWPZeN29uwdtPxMd44vTGostZi1NhvKB3LOmDZKC074eZzxLM0fRCak
RgSHSALXII3vSQ8TWLHtPtBqc8/lklSUx0ygmkwB7GG3UZ6C2pPZu2TieUM2yKxdkzEZucvQeTiS
xOCT8dIfNjq62e2fC/Lfy3HKEMyAqWj5LyMN4Pf9XkYFkS+INIvCZRD8RJAR/Mu/Lgj6n7/u900t
4A/FZg4XEP4GTdLfNrXg0yNKohhffNyT02uyqxCFHIfXxdkPrIMo0qbhKfzz1/4O8mU4RNKi4Vtd
dwf86deCq5qE9aggWZy2GlYq0szN3dlkDrhNq0lYIeOqKlmjG0hioDV//vrfoQyYM6AEzE8QVsAL
XuvBf29HhSm8IoLndOnGXHoGIEkl2Pefv+n365u5TBn271kEXhVjFvnriTaG3ldGQX7whtI5gHW1
5557UBN3vqoj8Ofrko5j+J+A76uQ/V9Fbeo04iBdoGUQzyKIQr9+9bCtBJea8UeIKHQm2W3wbcJ+
X80jhVttIr17Z0JaZkyV4sKzsCrJSNkV2Xa5TGFStohDlvlh7gM7fI2gZuSfIWHOOLnjCbKG7f0c
IabHprRtl2K/zrELjlbiFRM6NrHZw7U4roquszpuzLfmKfVz/i/Z91FTeQvl0ox3+CRilGlIauP1
iiwK76G1CXnpZywpHbwr80QZ7xBhGxYXZ4yaA4s+HFjTVh9JeshCcoxkQ+4SJDQUYg0amTjRA9um
msAYSsayY0vz0IcZpKyrKY4MJ9+WAriV/AWp2eEV5Szy7dyMTH7ZUQbWaZmygpxDesGDbHRy8tOW
GvGxTmsuJn5Udbf/lcFgD97n/B0i7OXRnGix4K/pWSCt7MWT4GmfrcZ0Mj4he2Dmvc/X1HjVHYiv
IEWRNk+9YOs8ZXr9IRb6HMmhSsogHu4tfpBoM4Z6T+B20zud0/dL2Gyc0l4xtz2OgwyxWbJVADiE
0UdXOBfBvFBbdrAgWRCDIGlgSEQUS9MV3hFNUALRzYSxkQ15u3vNt2EVnWzYKkdFWTxhjZoN6sh2
VO2Yz3AhGaJLnDe8MFVBrsR5rBICbm4EjtLxRCZDwhqPmGtKkfULEfXeKTQVBtlFGBH0elX1apLB
IRsAyPJD05WyEudyreNeXBGB2EIM2sawhV/YzD7mYYcq1jFZIjv0SBk6hY5c3ikr6vqD6aNi+IJl
a1xyLjCaN4oaxHS1f6rTqez6A8x98inOrB4rkl2WiAT6hTeOcALP+wjJWJ0wP3SDr9Y6AwIA49+Z
+T1vb2R6LHYWMLhYbHYg9SYbjP7kEMWeYTBFFXrNZxSqIqGphw8lTzISvTmb7xIlfBbLLueGOiPa
rgi+MWVt5gtAh1A026p8RoDDBq23jyt1ZbI/gZaZxdwMO3bn5RVWTjjmDMcAsoWf3uThVBUvoAGY
tR7QXbCQ3TAy5zYgwHTbUXQMdb97+/UOJhEp/GdmIab7cIgW3WCpip7PgrkAHohnFriF98lNLaE8
gfLgfdcIle0Q2yjp0jtNjw93wGL2uhR/Qhll/VtVY0wlv1GeG4bb5SbvTKjL7VSJiIFVN+xDXrjK
9fJ9o1PcDHDrWCbXoylixg1Wmii6aHNNpuFyzzPzE6k0sdfzgGbW8+G6i8Jrv5W6p0+d1iMRw9fx
rEs4yoJ2lNdhoLhD5T6u1U434HZiU8knpUhB1bdEz942ft1w7RyjZ9KiMz5dklrE9IO98jjC5GJW
2xivLASDscRox2r130L9cklSKkOMCyiPnSWFaFGt7v2W4pbnIhuynIMgOBYb3it2PAzwraQ5vx2m
HOef9a4h2oUDmynAmNOk2w4FbZTxSQRMohu6I8bKfeDlWBFhuj5pqtNNs3dOer19WVTJWbTGf00M
4Bbx6tKsOT+ShNCZ5toqz5W5kR7Wjz72e8W7AMtbzIcTWrr200rapP3U9LV7QG2rsTgcEow2Hha/
gld9Yq+r4fabLFgdWBUWrlFZpx79BTDV2ucWTmyLzNPl+g9orarwpmgL6sFDQ041tL0cez/sNy6f
7kOU5U2WwAR+pF3nLbfMP7H7x+stEYRquLOwW+5/JioNb9C+b7iC20DezgM8QpNs5D5jETtdNzR+
OXASJmL1bcJQlwdtx/mss1fkk7A/PowUtgw9T/QhX5HZnhdeKsdLPdRdpi3UEMDg3upzk6AGN/gH
VejsuFew5t0dmfCC5YcoITR8Ykch+dPl2jZrxPmvbej67WDW7lZI5i4UoJc2PxA/wR/3Ol/dnxS6
AN67x0gZcOu4vH6JTYO55GRZ1gDjoADA1ncng3kzw5p2jsdQomxUnIss1929tQNO8ln32ohBPl0m
V7zd8ccsauU+6DIxK9G6h2EZJ/curMPd9bicvNSwoFEJXb4LdiMd/URiaSBvDAWlfLic4Q79itsJ
i4sDa73GXevLU4ScJeGzu6V13+dNblEh6so9nHi4JO50X88J1rBhccB8N5MPuecRA3fN0udWqbQt
Oi4fpFzRPbSqVHGOdjTcvH/qXiMVfAPRCx0X212sDtAbv3I/alTuroM/5z624lWl8VG5SaOKRLqH
NO4r9TEQXYBJO6XE2hFNiN84OhxfGuxo1BjTKjsn+6zAhSimZpzwhiKcdfjg9Zq1/zbx56X9HEkU
6zMOzW5UdKsAWIEi6va4JlVU8GXrs1nTGY7X63nuR9cLXFKPxffa7xSlDjT2cvsIEFDU3iEJYQF8
xQ85pyzGAJzdKhrpfPqOwU5ffV8R+fL8Q+uUhNEOCwK047wwiF9wSPemz1VRdYybCww2yoCtDLMz
2+5lU8UiP0AScfhZbuEPmUOVrn7fudQHtzFhrshH/1l6FexDdLxgZDfOpYTtTqiUa7wnSJq4xWu7
uEmDDHc2RKa1rkH/E5wkTTvnyoh5BNZECtzR0EVg3VByE+LD7y69/cIQz3m6KJQHAhjN9Fc8YflA
yPCr6S+9cPdF+NO4ngAUeg5lxGjB4TIL9IjRTlTsEEPdUc2xiMYvCVlu5XuZhppfsfzTp9vkpN3Y
pybnHEa51iAmMEZyt+OKSo9zximHgDdafTvcglNLtTVAWXfTJW7j3E8vhqTzJc7kFAqUSDsuTdQw
qI7xn9BZdJP2keyfyhxkBmOLuoexoCzGsT3JHw72YUfiaEXYdIJfHFu7ICIHbdp8vrRlzIKusdXk
5YAf7ugUhiLND/rMvv9Y5UQIkgO4T3gRsGORbkUaA+nT9/A96+DFVfVr+BjgyM3Xx2HK7Xa2mFyz
aA7TURBbYGIvOFzsroOwcVyLy8XXGfziL4bgmfpvpEhtBabRYft3n0JT46Ori9+LlbPDp8raVivW
AF0BUR0JKP78V1EFfQhbgNLsZX7E33JvG9xZFLCbJsqLeTDPBbNA7i1F/F36VT9SH+vdUjhOiSCS
Br9X6qqP+06PakIDXVQRMVB7Jpp3l43SgMqnPKNSbCtEXvswqvpQVBaXhePAg8tAeJUPmXljgFzQ
gSHx+M4ZWFK+UK1r32KWM1dM1RS6XO8eB20vuwuxn2OgTl28N9t9p4a2Rh0SLaSRHsO0XnoQI+UV
2V0jLIT65zIhQp7J3Hq6IOSm02lxbnGlGQHZ+043yS3S+nVXw3EkvrpqCXOO/Gg9rw2NiewEE6vF
Mxd4a4dH8tfgBZH7gclvVLXQgOKSmBv8erGe3MZjpApymhrnMFI323xW/Hsr/qZZJCMxY2JIrFD+
dzskGYmPhya1zV7+iNcMK2vQ49z4RuInQXYYjZaznoM27aYHLYuxrb/ZKPd09M2xqlIIWKgBSe/B
QsBM1jD/bCZgTsAvpCWFcpyPyg9iM4P34qRAVhwZSKmgRsQsrynCCq+JLag3guAZZ9gujFciXFdb
vbWL9rPtezwUi8huq7HLi5VEP4xjxuCvfl7iFNekrOkrynoygsiTzHhCmxEva1xNpiz4J6BMLotb
iExBsD4G4EccZSJ1xo/VJmJiwEyGYurWr4Zup9qv+0AwZ9Zrisefj5NxPd40NP3T+0Du9Niu2L4t
5XIKOmK4+47MlmkJoqNZZRyvt43No6a9zd3mOT52lJmZ9+jnqZ2XO/pMcq7pPJLpU5+2CSETiQUk
/C4lcsqVRvRxCdmqhChiioRoscdKwUStxoNqRlum//g2zCA3bxDn2P02CqwzviXw2lPsyau42G9m
vIx2JMmJqcrPOHjLNMBDKfCKzxX0YBGRr5RUC4eypmwGH+jjZeTs+Skn9KB9vUMxH0I2n19lWhvs
0YusLWhrJFJ4HhMiQv2ucz7QawHCglgkjduHrViHQDxSgva8Az3nEFPCdPiQRHcWSJyL2iPGlNH1
Ag0r2K5UDxr3rYqzesJFMW+HnTz1MgWFJTaehQWPoMRE3BKVBvjCPSvZMRCuFwG+ud+IyCcw7QFn
r6LK7xBKamHPA+w6K94ID2vH5h6lNOjLudAsLfkZM2aqWKxT8tXTb6BK6aQm3xD7i7o8FdazvKMm
2FEXj9rOrb8jhMIgF3F3trqDl1h+jZQL0NsmeaJ5szp00CbuQU52j+kZPL1M1bkjXiFT53iuferS
MrGuzh22dN6JewKIZSAJyI/F59gikiEjxBKelB1Vnuz0Ls2oNBWI8poNiWlCZC1zVeeHiBdWfHHw
wpxXQhj9x44iBmCXaI4VHdCpl2QULzSPiPZrcaDJKp1d79y/hPQGnFW0xgi5mjFDyf8mCSuxcCzi
MrUtKV0l0HDVsbnGboq8xjwBmplOuhE0G28E9uAI/Ns9LM2zAUWV4UGuKTRVQhjC/CXRuVzi+00B
t3WfpjoozDMRcnSuXNDTFJCBV/cNKtTHLYIZgSsVPj6LnT91jj/3FX/x0Yi/1EpfjhI1x3EweVK6
CJeY5komeUDhQripCLmo664Mvhn45VwMysOUaNRVGr4fwwiX1VNqljb3rpBs4ymKP7zwM30PoL+M
bX/0K7qD/t2MBWgFaNTWASaDa+az0NKzVMVa3JDAFKACzjE+wNUrjYtA9Nfw+klBO9V5UnTijuCP
ZuqvKsXM1J/x4+98QIp08Ek021p2XivIMZK67JzMep73Y5rbfCe6tB9jPZ2JtJH4sZA/MJLPxN6s
i4qrIM1QrF7pMeuJXtrYrfP2ErQnrp+rCcs3wg5DS3/x7cY8GPmHCpMLIq/Squ84lqX03Z5zJTaE
vy0yld0bkoPghB6yZN5a70qONtfpYa81dd8VbLklyg5wWKj8jkUA1PAyhhLPEWaYzQ3hEa0rg7Zp
s5EPHhuQUOQvM7ukE1SYhReKbDP8Lthq0mqx1CEQ79jXk/vdPITu5SFOfPwoqnLtP8ZoxTfk4wMi
B6anuuwwNWdpW3yiBxO9sYO1LObtuSoVjin0fXb3ubNmbn9xvS2OZq2ZVLljCZYyRBK3IT0P3ALm
qs8P5DgSsXuM9OIuQVBR5IS3XT4Snn4VL6n7m/UGGmuKVhyvgBLtd94NpXqavpTdUnDSRbS5rzaX
y9hjTWOGGz/eOOnLqeuEAqPDaD5ZZjwFiAxAXS+SKthwVqs9tEJXKWRdrzkOWFOmmEICntF1oJ3d
yvKoa7c7+p/9ZzLwfKMVpI1O1GYbuEul6WF6RL3l7gQJMOPY/u/ZkhnQX/283AiS3X1ninDIREMm
GQdSEfnBL5WJBbOPGreEvwn2VfyrDzXtqgKogg+Gyc1+bWIC8N7Tr8/atwbAi09oAyxR/xkiOrT2
GKclKbUHXEOhjeHciLSL65tDTEGLP9s0ovET4WjLnYM/wbt/PgM9xp7ZdDa1j4EPv7Q5QSB7rEL/
Q7tHVWVvKBXc5moJJz0VRxjIA/Eltl/czW0vw0oNVHHNocIVmQYSoX/u8H7eEWxcQv61pzVDQ4w4
5wOfsKdkhHQmtN6M6xW7F2KCE9N4K7hdg38npJ5NlfWRnpCXfF7h4dSAeEnIPcE0J2lk99BcIEwh
R4Iyb6uMqlSANOCKH70JTDoRPQ9uuIPnFukypF+NriKfCilVFVABkeQrZyW3LPSInUXWPg1PYmGR
MeecSLttOKtAUYPsUdutj/Fkauzd2j4ucDqeCOlMzCEe+5ANvVexD3jAKJH/65xHcn0zbOHGYvIT
z8gGtPHHah4JVixNM4W09Gt/Xh/8jcSBniWBrCVLMPk2Lf1xBcVa7zYoGJbcBedphV1Rv23mTCdz
jV7CgJm+P4B447B9SGGR2fczhhDYCfkCcgz898Emy6cm9Ct9u76i4XU+K/bTXR24vbhnlqn7G3u+
NnuDMnXeQNR8PSGp3TGhS9Irf4bLfrs3kYMh1DY7zCgnaZSTDYfAPekML0AOYIWNPdYFomnXzcEV
TD4k3p24KCIlgLlrTfw3+GFd6UdhmSfIY9VlkBDa6aU7eq5ozJfPKiKDDgqEIkfQPFq8nDXZeN0W
TKSO6rRTp2VON5IeQjZrLv3ugkYtNS3+4MuMJycykDFc2aOSxxb6lpImlKYi1NSK2GGriD4dqERB
T/aUWguHk/V55iQY9euFmmK2i9jIDALSAHHflMv5sZqUIe6siiPvIzrjcECtQDGLPM3uPTjiw5oU
iqSfMp5WsxHl0FVyOmWzn85ftobWG1WJRw3+mYD7CkP/YDFJ5J3xDNHLU4bJSEfiWRgAuN6KTga4
I+z0MZ80DRDcyLEIS3ZyuS8nS6NA1fpqD1ties9TremYnUYUSv5KPnDsgBKfcFZ3q9Yu0/mZdKaB
J3Zdkg3fI3yvzF6jJ8Sn92WY9Ra+sPFIluJpkvBJn4rRc/Bp1Q183c9Jh5TJmOd0lqMbCDVtCT7d
zZVcyaleHH6lhyIAXqw61w5Z18ARl7Y0yNroCrxkGMmsl3B9gPiIkq7MNTJnNyl7DT3jB6wfX5G3
PoocWrWFDjP8Caohh6fAOW509r2PGYk5mGmAfSfNw1Zj0iHeTJxYQTyKiKOZDQ/dkjTE9qGL4AJe
0L5lRAH6qezSlEFPIgPgKShyF5THuc/98VNLP2Vjcy11Ga43o1U7e5nwlVxwQdho8TKKTtDLlNVH
y0qJvy+HNSO4vOCEmvzZID60bWWjJ0BpDYpHJhs2god9ljnZtK3Qbq5DXOIuDQ7qG9BZQB3D85js
GgL2ycadwlAoqUe9+6cAAbHDd5nOPY+tlW8wNqq72b0ddbPrM1HtO/gR0o7DQfFhcSPcXC5mRK7G
kj3OcbDM3ttcew5zVJUKeJ/wfOaoAvdpbiCEQ4f26SFyK8+EIxQfoiHHWlymeEOH0NdA161Pc4bt
YHPyMr+0T54Iw+AuRL7RvS1KUu/ttRS7YE8Ai2bBHmyet21/iRcd7O8kYjYsJUfUZPYFSyoaJLeU
+qrOblNsTTAfzCCO4OZ4mUIqKSmcjyU5OpU81MuYEh1TpKaW8ooOgzvZy8OKfD8DqNe92ng9a0tv
nn5C80b4bn5PduCc90tEH/qDRlauvtUXIBhXFwfzlnVtuTDslzCvPwRTx84ZNyLC5rDRIwtoS9/3
QV2O8v6Cuu+aBMf9bONoL+131HytW0Q6s4/2PVTiJu+/JBslZ8bzrPT+T+bJNWZnlCA+oURfZK7U
Y9p0juIFbR9uHZjq4O4NTihN6BTKaR55CCqjkA8xAb672CElalDIfuKiawQZYrh0YV6Kt9LMJEm9
f+stIKmPFBFDU31cIggH6hRBfSlDEm4Kj3EUJTOZn1dkfWd8p79gDho9t2bq8GIJaqHd6LiMTaeX
Vd9+osp9R1QP0HY2hK6z8Yox/wSzX6fLEIuT5XbEZgEO1CtE30Tza//l9aFrL1d5CKB8DTR8CJ8P
aQJVu/txmWmKNgy4eSEdN/wuBx2xVB2iSaK9uRouiHo6R4O+xiChyYpHTIxep4cGrwZ8CJbd8KNm
S8zx+VA/HSKNKY+NzyzHc03unT/z+MeYaxfiuGDf1jRvMOxYp/pcUyZF/ZUWJRGKd6hw0nW88kfb
Sf8Ib7klWNqrjMa9MYIg2H0Npx249lyp0aierOsMAvJfS6wGbzhRGWjEKjMGk55+6OJG9yllb5c2
y8sMs48uIbm9yYplcTS55Rc9WrzMx430mm4566VqQn0zDYvhX1ULdRN4oe3y7ms7KwV2iRPaoMHY
cNMsn9jpJBEIhzVx8bxh5BqZY9JCGv5adkyx36ZW6Vw/5ktaK7e07Xb5JKNoy94RuCWm9EhV5XoM
F3R/KJRbMMCVaCHAQIOCSh3rZprx0nBRFX7JzDQsCvr2gnJ72rrpZq3YdTGhEbvBx/1sAoOkU3zc
LPjurJ+B/GNLexUjhzK+Got4n6er2c6uAsQjC9AE7L2Ksu/UsdVWEVDURFGG2w+qu/J2wDiwIqUP
/3xRPdF091L5ll3V6OXnLUC1QgBTSJiZOdFxDk10pG3USAlMrRPR33tV3ZKvFtYjbtFI3xvRfiUF
cuX1aamX0NmzJcjwD+RtMer92KNxUeCEyP/bxF0hWvoySNhdeyENzCBlZH4wmCE3L4agcvx7q1Vh
toEMNWpAQgyQgjj3ZevKSlze5ni8snW18BF0lObQfMM3tmcSBk3hC02fuNm3a5JXUL3qdfnJ5OS2
TUdhQNopTS9dLhQKbm+3AcWYpzie3OTVTj7HaTA34f/Bno0f1imN5/1NFU9tPz0YDL7lk5dmO0du
WrwbaZ0F3kxqEfaKpf9WxT5WcW/wNhEB2jdV2ATTUo95uqc90bbgVP4S/h/uzmNJbiTL2u8y60EZ
4IBDLGYTEQiZWjGTGxgltNZ4+vk8k91VGRxLWq9+s7+tu6uqm2REQrhfv/ec7whafbS+sVv6NbsZ
ZOEQMkGR7bEWpY22TWZSnzlUIushUSupEMoCHUyn0fikacAahnuvtEigWuFlyQ1S6O3BvaOXwuhm
BU9iKpEdz+CYlrXLOoo0bU6QWnyPq4wZx0pzhGxTf4mdzHg2zLDjDypKVfyrxV39sSjBQJNsC5vh
tbMbRr4q/te4X8DB6ziYe4RGUGuxSHtN1UcvncvEMt0IZglRtsf5hWN5Xc6DPll+8GuCw1JQUlOk
auqalpVDy5APhtfL9tcYxY/SY35m7y226kX3p6UIo/E4QLtVCzrhDOwKzZCre2oofx0rqODMi7qg
Au77ZLuT+t/yQjbqXizEBtio84Ype5S1p4fzzdvw6tfrFI69Gr5pDbNtfUeZyC5AWBvn+g5WJKom
nhIyWlS1MBUxAoTQy+gH+GVlmqLznR7bu7tzIRDkxC1VJGzBk9VxMkKBbem5zXTQJN+dknmMF2eP
tpjK/4Fk4yRu7jM9mt0RsmSid0Q+MydQ33YqB7MqfGpuzWyPQzxxZwOjH/VgreMwCL7aEHTDaCv1
xCDxkTDvOfg6oSypHowotKoHl5q6BJuD+JufLY2wzHEoDgQD7or+HZf/bVY4NRmMUbozYSNbkEml
mVsrCjc18xyiRg110UX3jAR/jdHfxgFtU6uN/delA4msjhy/dnt3XFS98KsA4gVUY9tfe1RB741b
gztSfR+ZuGpiqzPa5syD0m+6bfBL8ZmILWyC0aqmIkduDTJbVXe/1Au/JsAwA4UML/BJh3B4GMXm
pdhqSV4xx1BqAuuQdIUjerYOavra1+Ng8lqgFrqm/UGZpRgJ/zAb2J7UqSSZOAIhw04njTPtmwPd
xyuXWG48Sk5yTZn/Jy1M+wJaMprCApIKD3iXSguqE8NZ3adpPKA3Hl8RaXRGlIaX9jHksnXwmqP7
b10Lo12mg9ib1F9e/aoy4iifsSEZagrmxpIBsZZOagEL5TAyEH2zHb6NA+dcY6jHUQ+bgRXnr7O7
EjA2EydlGEY30de+hfGAIBHaZPaxe80tQDSv7mnnED162Uw4qoEqk7kuGAPMSNj3VWKahr7JGqwG
MUGMQxtDsNRFt1R/ENy9l/ZxddFNctqB9WEjLHTOvbTAH52upiXp1+0oyi0AWrodGOuHloPXx9q+
/+ujLBJslXcEed85Ui5H3YPKjeRms3ZAyCPDIIlWpNnTxx/z3jv39hP982POdHx/fwyDo9B2UChZ
ak1jtpmSldJHlUeiNkOazs6PDXQBDeWeFUwhNP62M04ffxlD8ZL+VhWqb8OldT0EnKbygp47+Yye
UQjzCtIUOMyMjzNEW54hKj+OMSMAZR7NwHVq5q5GwKPGaIVR4NuzUg5lw69dyEfmL78GmmNfKeHB
x9/yveoSTSuNZaFsmmDRlaD2zG5oOQ2wZweHggxyhTWAbYOhxjXhGGTrioQ4QizHDnTExx/7+ur+
8+I4NCKFC2oGBIlhvmJL/mlzRC++2LPsq61AactC1kJoYiiathQnGeBdVrM2jBi7Lw3d8w3brnrl
LVZXlDKvA+6Pv5B6NN59H9hswjMA/LhSGAhC30tArUr2St0b+BWie6xm9LRAdAyVzNMvGd1qaD4m
qXPQKF5RIKnDiPTu46/w2wPj4qhyeEck/4Eefv5C1hgLbHQ2StZrqcSSPncm+RkfPMnNG5LDmee7
rFB1vn1bPpxqkRgH3k4kqC7Gm7adFLuk5QjBtP5trP7xl3wvuuamKXOtulJ8LA+1PFuSoX8gudPI
dyB+Slmd5jfLPVz+psTrVic8P39Yp84fUT6ScAED66XB/eFv3t8azGZNVLeut9bckTbPAwwGguey
2oCPfgp1e1SrNfDkP7m4z55R3lu6VyasMeVhtmhXnX0w2og5hm6obxo4psGW9hfSjTwO4+nxjbXw
tgeEVdGrt5T4ZuLcQ5Hgx4lMsxJ/eFXPQATq+1Ac0RZ3iT7k25zbqunLpJEFVGDD3FAp7N+0MqpH
SD+l11K1y70JeFx6zKA/9FGpJmbY1pYO8V3Dxbblt2qEGRWyTcZpN9FEo/GLJYGXT85QSddJ1GLF
+fipEeqx+Pv14qs7KMhtCakC76xun99DUM9aR8uAS9nKXlxPM6lS5Bb3M3qpmFle/mlcFjToa7I2
lR+oklhqLGyr06tYJBHojJxKZvjuislRsh3HIij8iJlHqWAc8Ov8rvhVvGOUKOTY7wWW+GO4UMKg
5X3dlD/+oX67HwY3xLIMmzBKVnl5bjifiwWKXBbDHxT6m0AHuc1l39T4i1IWclQxkTJSjCuQqShI
8QrkDZNpLXOJiXCsBH3KyJgqvXxDZYjwVT2Jw02NoFzByKwhBifFUvfxNz8jvbHG4H0xXB3sgsV6
R8/o/SslAK7PiB8mqIypGnC0qYaqqbY4Cj26E+OkrxheXJARgcd629g9P/2qIc2FH4/0s+FHm4Ae
+MrcRlrIidN6Lk9xPsrhSmcMOV1kIIFURNDchzQY6bLCGV3VlADkiCP6kvrtrzsG7JQNkLRCpR0W
pbBAbrpeixwbwUmxGC9phcb9J2EGOazttM5qrdjMBfGmySpCyJpe0s90o2+tYUZm7JuM+ezn2cET
9unjS3aOEuWSITd0WRGkBxmPrf39JUPXnHdgMsc13lqdHsmvkjCl9cjL9VZwovFISokIIM2Sr4xl
qQY9k35XvAubIeGXQU5ckj9UyWfbBjeTGo0+BVWhYC+3zyGnBgh+i0VwWeuvBi0w/eqYFhtkkD8W
LgY7ysjAJNCLBGEHtygGQstIbuqRSckjCoOpBzQIUb84GkFo1P06Qj7AmvrxBXzvY1HfEpEEm70J
FEJi9Ti7fhyxSK2fyKBwLXyAz7QauhSkOtZEAJ5DORjVF49JcYRnrxit+k/YgN/vH3s6h1shsHg4
ruuePfIMHwV3IA5Jiis7Fk/hBIobsLRF1sX3cFAhHr4lhdhKh8WpNDAD1sukj5QWstEqJGq5yNWy
9PGV+e2rmTQSdZcHy6ErQKTp2T7TwIsxoxRo8FIk7DD0epHG4SXLWEA8Hfr4tYkqg+8ySz3Qn2eJ
rCnfRmOmlHn4n1uim2WQJd//8L3OF23IJTAWWOJM6kSDcvb9Iy+6ssRe1U9H/CULU2jd1vC0ImNR
gpmGPGlwBMtJkraUXdFZcdvwEmKEmrC5b+Ntg54jk4KPv9b7coCKUSGaQa1ii8Kxw9+9/1a87W6c
wd5hKov24iXz8GsS0/Im5iSoj0WfALc/V8ri7AkWb1G8eGJtk1LktxJxdFEBZ0w96UYRy/e0GJMa
W2E0yJC31DRMWkaG3djBq8ZBGXRoIAqmrO0qxS6dXIOLYgBL3iQjEnwSnM29AExWq2YieHtoSGd9
O/U/yPZBywg6GX9lmoMaQBjVsArzQ7fls8DBKL8VpVJtdsigh4tu1hWO3GoAIjBH8Ji++3ReWBr/
s+sOS5nxIHsd5YfOu3T2lAIr8fjU4fubV74bZh7SX9XXr3cEBTmr78efer66CZo8gpUXOC20Qu+3
q87IelxKuksAleKJVb8OCWJ+JCGKDtgaYphaqdidVAXWMplCfk2oEv9AzEUbLtcN1Fxec7cpdH5h
pBEO/IihPaJX8PEXPSMjcHxgAQZP4nGkVvWic1YZk2U1GYQsYxh7GzUShVK2L/jWCh6PMZ2VnkiI
1vPmVRJk2Ohnr+2KnxbW91Y5pAkifXJjdwpy+v02M5x1XNd2/K0yCLeJNoveVPxBNnuACxm04xji
nrQZX4dS0kiR0KzOHFkvG31CVXBNr1pp6iERqEqrLKESM0FxZ5Gf8HFiYAQQoDnOugGE2/+oAE24
6Uay/xbBH9a38/fGQEVIh0EKh2PD7z7Nel7CiLY9ElI0S9anaAThvBlq3Ev5BueWuqk9trH+WzvH
Koni4/vy/sDCbZGg3NmvPW4JG+X5voOfpWNMMIbrJcak5+L/emWE9XHbqYPUa//m4088X6DwD7I8
WAgY1MmB8vD9AkUTB37BnDL7zkLVXyutVBWnMFzVQ/pLQC4mDroff66pttB/FNkQg4Sq5SB0WAoe
f+7VhNnSB2y/zD9C08hPBUJe5Hlv4y8rpca6RfjJeqItC6tNb+gjz46WmUR40ZLJGDnsGkbWLEGo
Z5S4sCGoVW6iyjAnIOEaIUZi3xRTRHJJmXeIl/xppCj3346j8CSW4Ibs2GSiYzbnqIDceQr1O8Tb
RENuRnQ5NEjR8nb1fZnqEMZWfcyd16/EVIeNheVDc432ZtQHlpJt2c2JyI4fXyS1Sr2/Rq+sLJ2j
vqNWlLObU8vMpBRzu5U3Jx7ALI1q5flNBPPxB50/9SxcnB09pqbQ9gGnndU7QT1Ysx5Qzrw57ReB
pOgO6T23/a1YjDRTrV2cZVjcP/7s84pC8C/alxwTGYw7lnO+c/ejOdcEw6IsCFL1wpuDGgkwBOLu
v+0snEWw4BuFx8sfvD4Pb0O1QOr8GrNo1BTp42/126Wn3wgSzKYAU4bt8xZL3hcdTAJEpYBYiCol
tjVi0OTbGKzQM378Wedn91cOuwWwSZeqNkZF+v4l7LoqqaQRkzbwurDCGq3L66pt8fEUAyXopf06
FRZmi5QjdAg4a1eFt7DndvRb8j/1As/XBFYDQQPbxYFA+fLbKlS6IbI0w4TK4zC1uHJ5i8eHOnFV
6ZC6ulKIq9wWQXER5+DrL0yEM2wYAG94YGbdxLq7diCpYANgmR20TVUxmEt2qPeU9GEUoURjmL7+
aP/ppaQ57NKroxB0pAnn9/2lrOIm7oxxLjBR8LztmEWP8QTaTomRvMirU18njJSfIAg5LO9aza3l
T8ZPVU5G1qSIu//xF6IuZZNVvQQhfutZIlLFhzWBhmg0j3UuN9AfH+pmUhKLxbYXdlD4crVGMz2l
4G6Yf4akTK04XiwsiDkoEy77x1/qff/QwcBHgUJnjF4v7DYmF+8vUhrrI+zBoF7PNFp5dcgkw8zR
W5yDmdlAWFEr8TzxfIVRzpuHz1RpYD/+Er89ZaqJyUmQl15tPOclCLYNt4D6mK/f5HOO3fBJ+UQb
tv6XcrNXltD7jz/2dTn556JKKwosOfhBSI6sPOeNy7Z0Jmc0rBChEGigBtNAOOFb0xEHh5/MCBTc
EUU3U3rzVXjRE2iFetRMEh6XIpboX8guBtR3gobJj+i7tqZj+rZG5XeqBn3pf3hhhB4CJ7HSg/Sw
FcvrX1a52OY5fHsa+wRhDyFfAGj4CxFaZNVi88I3P12+vekf/+Dv5w3cdIVdZHXXHQNSFvXf+5sO
R0nGpL9V6yxSsBXO+mq//6VC0zK8pT88QjJRl9pl1rX44UOafNg0Xy2Qr9/lP0KmX8bfmrItf3av
wPN/A9BfoeZ//9PuR3n1Jf/Rnv+i/5fQdNZ+hWAP47L4Jzid5v8/7oiCsv+Crasf4H/+654qrf3x
2294g6Yb+l+cX1VB7iq4AwXZv6Dp8i+PXZESiXdFl4J399/MdMv5iy3KBPKnWBBMRdjW27Lvov/5
L0v+hQIHXDoDAmpKNbL4Fy3+5u1lADQPd/7/DuNxPX6Sf1YivJ+mrdMM4ZtB8MTK+v7hMeMWXRuE
m5Wwlug5tbyUGXQSEu6BHJIxfq23aw+6OPQdXEFD5NRIsjXnhhCG4BAtte5XEZQcywihnbVddR+Z
0+cKr+cBPbBxnU+lh+w9Cy+8uRguUQGU2YYUivKyiMlkjDnJXw6EdoLaFQDAPBum9tAOR3zo7sHF
W+3bWkVoriCL5oTus9/1gZ0ek6brthxEl5fJSYzNNEi3Re5SzqdwMOXJSKb7wivjy4nfvTOdBoty
MYx4JzCyPXeBnPyYcdhWVNUtzB/ArBMJQU42kDXH2SzcOQDUfHpC5gadacxLPHsEyEex3NXC7Olk
xezgSaVjBQLXS6BpKVZomaydaSXV0cFxvsuQNG9z4Qzfxmzqt41p/UDfKYiwj/V1Sd2MutZLjjbt
k9WoZZ1PqCT8tTbEkJ7VKdme1I6HcRAOQY6Ry4lOCTiUFCV61sEJfBXQP8jr8lKEUhndXyOejxO6
g27lGJP2gupZfGUg7Ow7mEYxhrPaewmNLj028Vzdt70ZbmZryPZDm2Y/p1CE+7QYtvSbunUb9fN+
KIviQAxz4GyKAgtToxd7N6+qx7Fpl3XfyPAyhIJ+aikH5IpcmGFfRm27gEjP5Kl0SmPdV81yyFJP
uzJjnWazTXyeV+rgL2Dwg5E3c6LqFsJ3yWRjIIu3llheKX+WYW2fhqbHLxiUy+0yWPKW6TgLGEa4
Azo3b+fW0B09r21PA6P5Fem+9tFOh2ybDRPgp5HU0pCb+ki89LgJWiPdMtwRu7rAfzmBXt9IN5Ab
LLUGbEs9ExuLNBcG8eHKlkuwqgA0YZkz1q25FFdjXu3aLnW+jiT90SAusXZbmb5hw/nkCVRtY2eX
69QJWnQv5ANb4WhdFm0g1wyjlcQ/zjcOvcZVCs8Ok8aSHyJo8ntoY3glRm9HiKD+hNDSfaCZTY4z
JbVG0y2IfFyPrt/19uCTW2A9l1kf7dlPQ4gXoShOpHpGJKy2M/DO0l3KNdUYMqEsWnZzMgzfQup/
YkWVmcAdhcAsNRkHt5Vdje0yjnZh1gT8l+z8sXBiUvXMklR4cJ3gNeCCmiI1/Z58KI713EvkRbSm
/W4acWHJbPos8FTgn46mr4WI5AORuJ/xuKAqgbBwZTTDCQpaDh3NMHaYl41rzyKTDxqYtiMtcEBk
Q5Q19G5E+oNtXNYoxddFkVd7mxg+FT/ZYhEAYBM5q2rO+qd69JaUzh9qgUD2z5rdLY9iaKpNMFjj
ti3zLX3kcl9orbERWqOvbSN9JrVb9znsBJ94VfuLhHL3lv7LE4ZyZ98jwfFtoZ5GTB3mNVaSuywG
NjVzsNxqqOFugr4PiD3qXIQ/49Rf1Ywzet8rE3TyRVmnTzbhY3vTHftrTjjOjxrb4Qk8LCZIA/Xl
OhEdxkEs6hG6Z727AP84aVgZNXGJDVJFrYVjS+aW7RVXESLMUxQxZSAjtNlRp+B/75ev5EUTiY5Q
+DvKhSxmAm3DXK1Qz0yWPW1bV0MsRWzODyPA++Tx5+0YxHXHIsvHk8CshtNl3lZZ+gilUcL2GtGy
rqTW5+PR7TF7X8fIwpa1VgPqUvl+VyXTNKWTLZbbUisuXQ7GG9MNxYGtDEYhR+UgW49tyRPqWMXD
VNpWddDxKO+igMxIfKxqhKIjS8q1I9OJcTNBzFt1kuUuq0FhgkcTmQ+t9SnrO/u0MCp8EL29zb3R
vcDGoa0chlIbJHRc9zJKdpMdIKIMwnYzaF54MK2ovwgH3cYQZ1k7UXXWxkuHb2aNMBRrZH4AmORt
DYY+K8ZMDpoCcqIzp/XQ1mTJOgZpdRkDhMRFlu/KvI23nlUAdG0QjeYHYtOfnSy7svTo3tZiPIJR
mPTkJqo6iuKTaUE4Vfsurb4MjDUuNcaeFxy9+LKm2ez1OGv93uzMah1OoYEynpUygec2e735rMGP
JLXKyo+RW4iVOQXVQxo78+e4zl0/me1pTfROtq57FCGEgwM0yOpnb5iv0tFDmMoC1QzN966pm22H
0QlpYkXgRDRuk9SZrhZc92salMMhk+2pc0S0ni331syMcCu08WsxasGnrq1gXaQFlPMC+0uE1mLd
jkikiRSCfJJGvXUAuwR9jS74HQFg4TV8VGsDI9a9hTLprto+vSBxFDKfZAMuVzyE+d4Cv3pf0QH9
kgOvIO3eDZ214koeUPjVuxaDLqtdn32ag3Q6Nq6x7Fx7rtd6GwdrhCjlc1+VhbVJjF6soMDZB0NU
5tfAqKqtgYS+Wi0coE5gJeT3MsoEecO5fttUkYNJl696bYUERq3t9ijcZD6OThg8Ef8pk1Nc1tkN
KNJvxjhmRxg+y9oup9uQqvpeM4WzgwRYbsO2ewXOOAcPZ8PG7WT0Us+xBOpcmdoLcIfqUMhgKny9
kAenZndhXQZNmki548HUN8zeppMUk32Na3oe1zjdqtsQ7/SXQmQ3g2Hrw5ayajFWOBIKwvFaOMGd
Mxc34zL3T4hdPrUlbxRS1hBVXFa6AH3DVdKH2bZsqtA38t58JJ6x3GPJhO5VUHo6K4bryDMaiggm
a1q2gUhpP+NjZB+szOYU6HVwaYNuuorw+N41YTsdjDatN5FWA1LO3RkugZmwe3uT9o3viM3Z0HFj
rPPBda5C/MunMHK1rRfOHUptiIiyET74gOAC1J+5izLMcXQAsnRapV5OKlUdLAwho53WVsW+HPLL
0U2MVYqxGqAWnB8sdpGuoisWG3u8lfpOh9GhHFTU4xj01mdEpq5yC2kTejDQji6Hze+FaKa9S8fo
qgyqaIewdDlOjdE8JDh+2UIMwuoHAyfCaOj1zVAzMSM+WU03eNnlHkawiU0xC4zPdBvSDhu2gdFJ
y90d+v9w6wQux2L0R6u4xGaz6ka7elqapH5pOHLrF5k7Bj8ys+6N+ygoJrmCsooLmx5rQG/X+dzE
A4JtY4otsS3CWFu3kCx30k7cRyKwfzam9rPsbPN+9AJ345I2s0J/7uYr2VX5Fw8ipQ6fLal3OC69
q8ZygDaaufsE3AdqGP+vduRoujPcKKMiicp7y2qbHY0Tua2HdLmTCY9K7RJN040D2aRdsyV6IUHW
R/GIvURgyJZTt+244dfowT+hYp63ExO9bR46EZybKflB1JEDe0KYh35mJ3VsfAE6ujWfO1Hvp2FZ
Hgne6Pwh/1xDdl05QUH8rs69ceL0omB4aCsi0ZTJnZG/AL1WqIL4AhbPfdjYHcYDbfiSdPIqSbvm
hgFjeKBOuW2seotf+YpZwA9Rej7OyztCt+kDL3cxFjgzFTut1B1o+ou4kBRLozsessy5CQhh9KfZ
OExL3q6guKarFtj/CrsKCCybvWcKJ5+FkEg4SU0/omy0op0ALvZ1SoKIZXNE0EKmeALujMHzHXBp
w9sHMTSJQ9KXuXZbOp10brU0/oZzObkVmtk9OAZQVEw2NsxQFO63WtjWXIhsXJcqYW6ZzPweewQ5
rt60oFrv3GPaZqE/LuNy7RHqrOOUbQbK3DiANbfYms2uF4YbicfpdkRmPG+9DJ80xLTkLuz5JQSm
e40x43ustH3rJfHerRZOCyhAEDPqVnTAWqvdOEtpu1g/u+XKyob4h241IUeusoSQ0JRXEb6nNZnP
8sYSDW67CsB3MRmLzmJswpKlygGVBDOhdbiemdb6UV/j7Bp6MKSmlbEK51W0T8eg8IHz4XsnGfRC
xqw/7L1mfUo6Ma4NMo8vc1zt8xg/26XFhWiLSSM+kwgKkdu7JugnHMy5k3LCSoybSllgE+HeAXop
NkX/XOTMawanv0chqyPGXvK9DUx967olPCLpHAtGnUdkTt1ubLLhFsPGRWbVN3bdL35rh/UnXWtM
OApzvepF0m6KWcAuqpfIt8a6WDtJlu+axAkPUmjBrtQ94sEpwa+d2BWXET61LSYuAnLJEENa79S3
Sc7jvYhxPPRtPlJZTBgY41tHDsaF1Y3aAYtWdqk8iCtdL7zEt6MZvmvHTOkOrfr3PimN/djr42ZG
54qJxMRlAcNLKy4krx066xZ1QhxN8aMjRl7ZMPTuDBUn0AOZJ/0ywErpj6gmHhqS7BUh3CMsM+Yi
XoSQny7CNMbrEYhiWk92Uflz4y2byGBFAHljr+n7AWS1iueQ4eqVoUHt3AyhNlzIInbbTVhpz03p
Jj6uU+4W7KWjSxLycQFMRo6wuU9xmN/UQ+NwjEzCm2UMPMXqze+kXLpt1ICyq21iA/LCnr42g7Fs
8ODx2M16VX+nGVt+kp3MkB5PrEMkVJcrfFdltB5lYD5NtWvsysRO74d6Rs7CbGuLfTc7TM6CQiux
HngYKH4wC+lHfM81RC4ougB1tPrQgSnwHZ3kskIm3F/Uev2K84elfhYcAME0XSuY/n0TVtSEIm7d
55wHA4oyVp8VBcYljBZ9bTbz/OAusgKoM2lf0WeQ584g/6fR2e4zXKXkAOV4evjvUoKfok8vVrE0
IvV2taQ1BeZeeqOxjh39i+Em4+m/kePgz7ItBp+mN+z1GsvlHHoT+ev2VRL3wRqZaki1EN9y7Eyu
DPwoN/95W+6hzPn3ebuNVtHfPbn/7zp3rL8fdu6ycvhS9/G75t3r73lr3gnxF/03x6AdCm6GkCn+
tLfEQ8P+y8UAoiOQVUhaOnx/N+88shBN4mFpQgOctyS/6V/NO+cvx6RtQ2WBmEVJEP+T5h2/8bx7
hwqW6SGDVrRVruQ7vu/eoXJLIdtXwzoATBK9BBG5hwyQ9AH3OO9euq4E5nc8LTCB140ps+9gL2m5
9OzqQ1/uxzidG4YF0NnWcMnd3RKYyed5iItDMIr6pRw72jS54T1T501PecJ5llf8QVbU+zne2007
VfnDgr1mNw7eBNzbSX9kjL1OA6Erz6MzLHdJgxSFtJgLGh8ajz92YKcZim8CdNQGIfPwVA2IVpjX
aLcBtcEF+axeuIKgWW8lnZy90LFwz7XdHIE4f230J9zj8CM/Z5GzZVH4NibFjZfeRNZTFQT5LXgY
cs2hoxyWsIXkOFrfGUXn91YbT9dsqnG/4WTZXTmVIb+GCEiAy9FlcpLIfi5mPcWJ5op8J0KwQnky
2rcJMv6DBxbpmOhNtpLS7Y6VCcuJF51tk6RqvU/cfcCInVNChrMcRYrPKarej6xrHNyEdRUweVsP
eHuBbO8G/ANbbCH6ShfuclUsyWMPeASLBS7mwbf1aLrAyQ9YS4xUl0OKstYKo4tetsEOWQbnG/kN
ikm/6UZjuikcyTZEN+2CQauBlV7LVqUV37hmZWxgl+Dzq4Lkdky9JxGDhJga3T0BKuVHyJBE2oi3
jsC5p01ltNRuOUbOxvquufzYcSOHlWsXD5rU5CXJAQ1+9W7aOdIuLiYaqGtpJiG62SJbMQ8Dx0RY
0WMSyxcS+OSN1pE/r9WOeVGSR7AL4nhaYRAm4MEtWmuH++0b4Ru4aOacvYXoeWzReeCbjVl+6fMn
u62w3wGrurU1uIGj2Y0QorqflSeI0AYYToeZg+SmsMsOfEQ3+XQwWkJbFv20THJYuAxddufiDYRT
NeR7B4Hhblh6HBBzyP3opu7JGJ3xaRq4cAMntk9muzxKPSP0xcnD01C09RFp9bBlaDxuwgxAWUU7
NUdGsIZyAVoctg/Ms0mMx2DEpYQly/pcmSOH3Wj2NhGCmctFmSxNYnp3Q1kLn+Sb4Dop3fqy8shO
X3V1kgM3SaaXQkzzXhpZf10S3U2O+DwZm6GbP+n8ljXApjA85Dj2VqglsGnMnbPHJxwCbpbOdePh
58WL75VPhbWQ49OM86pw85m+nsC+PwnniB/MXpPiVKl04OARQxVPdNKS7zuIeptqXvOts4pyNRr2
sjHzznjEX9ocgiDmqOZItzg2FNsHQ2/MbZikL6PT6auig06QZwwDwOAhL5AGII1q9L7z9HzxEo1y
fJn6I0SQErwmOjlsj8C3RqsEy7rQMrIm/g6mH5Ea9ufFxVPt67Pm+fMIfI95RLTNh7o+5U7oHUaJ
YlM6dd5B0LEJ4sFl9bCA/FsB522vi7FqKBfj4ag7Ja7/Mk18pB/DSRpWfgqEldT8cN4D9tn6ZIb0
mRipOVwmwqVXdiC0A1wHWD5lJfbF2FtfomIBomIWC1OCULU222qL+bE+uaIS9xqzE9XKuRBLeSld
O35BG3tHNv2LFre9r6jPV46lVRcR8JMDuaf3y7zMfmXb11EBUcx1UF/gOKStPE7k2YxDv8kIMV/J
2gUmhjKdtgZR2zSduYMkdlyo9idkJ8v5aqXz/Di1U6yvcsu5h1YHkbnRw1NAPKGf9IQJITqyLxpK
RN6JLsx5z1h9S4aZh9nWb0iE+xqLvWVR4M8OBjsO3aG2t+0crk8p7JWZOtupIpsB+n0J0WO8AKiU
7qM6TznyaLF2J7p0uQaSUyGiNQ+pNvp4bSvfo3uP/zXs8CIPlR81Bn6SamwOTQbr02vHT1oqE1/X
mRJLOEpklgK3BhUOsfgG2eBKGo62of08nEJDFIfelhi2ugLq7dLeQ2G9ng0b6pAchN+aaX7Vp9pw
M/Zx+EkPusrvhfa5pTojjUm6N4TBmlvg1H48BM8FLfia0nrfzMI7jpa3x3ZxpK3Z3TtLsjWitN9p
o3PAlrbtQk0/cSystxgyZ3psoU2/DErhFlP3cTK9n4yPb7DopX5TQ8dHaPRF98LK14zRoLarq6Nl
x/XGySUSHIDE3zqY1Bu35T1NbMgeRDlAEZXpBfDxDnJGoIAvZsvdn6ufGMZeomoIfUvLxYNWNOFW
z8x1Sv/9R4ynbIVeNtoPVpDtF6HJl9iO3Qvaeg50LmdeMY86DVXo+mUwMNzoWaumeJBHsPnTIXGB
JIVLWl+4VX85zc18dHKPGsG45SWj1Qb5dS2wekDpuDJgZ173dMWBRnWGX4rBPMwLASqILYx26w5u
Buoai/IWG7Oxihnm/ATxMjxKw6z2mTWOUKRNmspj9rlshbnDYgC+oh3Ngx01P4coy7ZuhMN4NXml
S25JYKE5kYwW6jg8aW6r0exwWmsF4y3dBFog72BmWVeh11c3qKscUFAFfG034hyCoHs3qlNav3TB
ZY4GG/5jXx2WOStPkRHMByhSeLpHWqs5uVyP+hCJtSzHcTvPEG4BBsV9t9Jja3kkIDehselW7Q/L
nZcYvVYtNk09khzDPvE1BUy6crTOOnpF6cE20rqnZOn7G47E8Sru5vE7bi2QN7Rkw1OiZ+FlnqQu
Q80Oe+1wQZfA3NLM38te17foeuuDTvTQFmcr0dTRPWwQyJ+jxYVlyz5kuplfDGY3+H1rTX6gF0wl
ufgO9BTb9nVTC65VatC+psiisyfc/UAD9nOrEUEYuweUtaeJiGkbdm1qaVu71reAbNdmJet1qgdH
4PiHOin2jZdAUhZwLRYW7xFmzTZKskuJ8YBMKPNYDpUF6WpqN+QibGJ61Relm1vbui12KVLtxQuq
23mwnVvGtfl2ymFBAcz8punaIagmpXdf6dN8M3enmLGyAQWQcLqNk4QvkCJNX07lpR4XVzQQlnWr
zYhFSVQseZB3IMk+Ydu7HHDiWiVCTVtv2tUMhGZpoAjl3RcAghClCEbeiTbnz35tyexzzTpk81Js
XEff1J73DWyfs4kSHmLekW2cU/cRceHtIjf0+3T8Wmufu6qI6PbTB0DPSxyBuTTY+b35bp7lnUsf
wp64kv/L3pksuY2t3fVVHJ4fGd3BAQb/wADYk8nsU8oJIpWS0Pc9nt6LVbd8q64j7u+a2WFPaiCl
ShRJnGZ/e689E/vYYu84pwPzFVfPt7E7gtRTnLii6kRRY01LzhUSGi7MlXq1aME2XnEPT7s+8bjL
4kCNxh8MbKfAnPqaCEVJA1aO5GA6QaQ4f1OoUByEEX4CoHyVNkYWOBkcu2/N4+kG7Owjvi1e/3iC
tuGNPe8x7l6TB4ZFJlbsjYj/Xm3GiOpuiOBrwW+P9OdMqD2oODgL3CWuIXz4eJpPtByMQbaAr5lU
TOu5uck0unPK6qnq8x9jG/0Ks2Yzaeme5iuKncZ21yacVpZsAWuLHIJXGNhPXRRnodn11hw5+A7j
AIu3h/2nFUxIjW08YOOHx5RscFL1x5wP3rMz6Ty5t/bMRo4+8WV6rMa32KyFV+t687ou0XaMkzt6
1dgsjRv/3bHZnfMXRnFU0NXNa6QM0NHBOLOeLrLoH+hRCxi4IBBY1RHCxHwVazS9GbdlU4y+W38X
vcnssiShj1ByFjzJDgeduuNjmuGKtM1zLRnd671DI1ki/TnN0zvY8O1R0AGwh8xlpT7fOvdr3cB+
7Qph/MrXVL7TNerN0ITRgI6c9vlQq37TRB2VcTZt53N9l/E15G5xw+3kGPLLOCLVI8l6/BxNd91G
Ax2TFfN1HNfW1qRHdrNozKzIZYu7qU3qoLd1piPRMRfiUoy9jVzbjVeNKc1L79gjL2bW7lQrw5uG
Rspa2GQm+N8GQIAlA+mhe9PTbvIZeF3pgte3kHar3dg34iQkI1QFbvgCcdR+odyp8Di41DuD6f6m
rx8Xc+Zluyx0TiAZ+3YpWogRAuHrP8Y+93LXCSY+wlWzl7Mz1V639L5tGUj3ybFOGkYbUZkcOyfZ
LWP6bWn76ooubABoGI9ZeVuZljHbZlO06SfnjliFduqssUFnavQLZxKb3odJ5yGYt3ZeXRYanjJw
NltrXi9kednwYAdROZb3+26d0sNAIRNbgIEWFp4ISVSbvGrmNws4K0fo6Wc5pDO3nQhDSx/emBQc
9Ftmq1M0MqfF3LejB+4SJ91j3+TpllskTkPmjzwnyVcogOwdRRd5BQUX11Hr7a/dwhAnZDkNlLBQ
UYmr5UlCeSpJrm1GDcHWtUFdztWzBUq01DKWctf+NeruE6S0R3bDAGXV8nhOD7B0YYYZtvaS8z0n
l2vxHOeoU+FUsOlaBDnA3t3GPy0B4X59KCbo7arMP4wIhdiIF7CYjD/8zOkTiAmr8Sm58hOPC3rY
LvBR5A7OzLHM8OgInSUsotdwE8m6eCOXtlG4Mo+dlAEUYUbuGCzRT9WroUcJgUl5zCrHb3L3HBvA
LQfXnA+1Xt/aAFhUKbt7HIFMbVYpL7mjNixgYdCJmHhKLhNkTfUNBAYDJGHnl7ayF8ayxifDzVcO
Rteh0PB0r+uDIZOTpKnSSBsryEtOP4U0mFWEIaeSVN/FuvZmZQq4vVVyLneMcNO0kAOztnqt3JVR
cBxrF9PG58GBN99x5Kx/OkmxHDsTSlRiDQsXurzgbi8HxFrd4Vs81wxVOjd3DkspUgwFTn+Rqht2
FMBGmKLoOwHdsjDgK1ZjB0aGzuUiz/KjkRbhV7GO5tuK4d+TdiJOSZoyE4zlFKTRjYhvRlg14sI9
tLAAXoyBZywsSKPxNZxJVGmKAyaM1pitakno6yjkWyHyySJCm3yl+AtRYGWV9m61UQX/XZY7uzEX
Tttl+WI31vuAKegQpVVxbCoAy1ntGMEI04jz+3jLrhiRb8SqOtM4QJvK0KtAgch8MLQQ+1dWaQdW
veS5ZIS15YYn7tx1YddV9DUQ97K6O2hbZeo5mviYwqx/GHoGyb3Vy1+i4M6XEW+7uKk7PzdgS/cQ
aaVnoBWXHrUAK2jTtHlLxlnb99h3DzyM45UHysCFb4cc61anJIJPf9uTLkPgtwADq40N4vCRyGr6
PnS2xs2rlXsZGynfsk48AmRaT7gx4GJ13OnbupQbs6CDwM5gIkdk13ZO2oHMpc97q3SV4vap1/jB
NXIOjq2d+S7osBNDj5nZW2d/b2sGzlBM3CPvIgWIsSJ5YHUjf+na8SCOJujxoVnZxufSKpJN7YBy
9YRTz3zGxoydhwrUZpicU5bNjsZEdeo41Sg0+XhmwtfLTL86cd1sRuUArCvDDudMAirYhvx0aaO+
95dR5oGi9O2YkXyHMq13BzR+xX6UhVsc3+mLbUUfDdrdw6yWDylQ/ypLiV3jxu1B4gEKcteMfAzC
1iZrSqxrREM3JAE5+VWBHQ24oYpLwQklSDQkunA9VBUszX71yRv6hb1us2LkxcbPluP2nkOpcj0P
+g85KOfIId8NhJLrHhC3s5d1Xe+oltAONMKb3ygP9lPATlQRMKATkcmpEi1N3JcEALDYUr95FFgA
9q2w3E9ANfXeHVrxHURQsiUzOezsNq7jDSB84yVLC/tJ70B4pcJluVIj8+EyMh9XDSVpRJ4BDNZG
9yJEX2C7F0DmnHbfqHm8h7zfPFhGrd5YXvI3l9nNcxSH6k7T5nhXGZ35SNUri0CuC5TLW1MjQJL8
tWzsO8OKIPn1czmtQTGF0xN1nhzpHN0iTTDlxlz6GHEL9Htyv6aM9cvs3IZmSXTzllVhqh2sstGv
s2lNamNFS3amxK5VfmqJdKfUUtEEPlePFpINmgAzp29TZYkMuquMvk7sW2CgWBOeyAxgZZGO0HQ0
JjNiDG9H/SmnU/V3K/ffsvNe65/lU9/+/NlfPup/HR/8H+jWdY1/J/nvhp9t+bP7ufzZr3v7I78r
/sL4QgJWEqUn8acDwlC4rX+X/PktTO3gY/Ds6TRi4s79s+aPsE+26+b1lQCDMOb/ofm7XywNpgZ/
im86Gdu/J/kj6P/T486sgfgYAQidow3sfN35l9ipofQeJwlXf72N3ZNNI9orimd6pyoRnwaob2zl
UuH4q/sLgNbu2EqKhSuZqO2f3rV/OIn/CxXC99XNCfsf/1X/q8v/91fCV1sp3hIYKr/FwP5UydfT
4EXJcgm0rMkyBqutme1q4PDf2Y6012Ggp02MzoUpAMYDBmtyB7kv+gaERuYeHhL5YJHm3feosokH
7z55FPWy/ic19n+NP/32Ih1c0uBlYOCwlv/LfGTEfxdOFO+Cgx9S+FHC3LXNUYUsg0Xc+IUT1v9Z
xuavSb/f/0oM3cyKTLLmhn5z6//pfaG73BlRGQk7AgYt1nivtCp+ErqG0GgvCEc2dyQRDl+TzI4C
OgdMD1Ct6XEIzjxEhppuzCzZTZlsg78/BPzfm/D93/bI8xT8tz9c7/+LPf+/lz/guv9lxMfP/8Od
/0U5xFGAvhPqlQ622j+edv0LoR6y3fQdulCJMLv882FnIZB8m25ZE2Xa5JH/+bAbXyyTFD3/I51f
/5tP+21B+dPTTnrG5oEmRMb8l0wPN7y/fpcMFz2JRDWEprDSvidjqu5RymdcuDh9Vw22YNfm1SHs
lfMyKi454dCIl7Cpz6R6op2bi43LbGLmZ1JA/1dFlsWzoMe+zq01orxaziZaGwfnI4e2dB4/C619
XxlB4bFcGMbl406R3tzMgxsTvKqyQ26D8dXAIUKvtNr3Vk/em9n5Vk8rQ77KPC1z+AKYwtyW/RLv
wqY96U4hfPioLzVJlDtuYT/BedAqv1KCElm4nabijWPLuCEirY6GUfU7yHsLNjddbVLROV5PGcan
JbRHXkpxGbPSn6qp3bjTTFrOogilpfX4ylkR6LSOtnKryPQzNyEGNdm0VIrKxvPTn/pWF1s4NOVm
5S617ac2QqA3f1QkRrHEOqmXyWI3OPH4nOb1oxnVP8JMvFk8z7zTCSfaWT86cxI/h1lr7TM17TH+
U1WTuY1fF/XNJuGUvy8of2sL/n9ydC//7T5+qfIfHxiX/ryNA4f448E2tS8kW+D2UdcnNR7gP55r
w2Y6zy+ShdWVVDyi/3yunVtUB5qDbhLMMX7bXP/YxOWXW3ZSQyw2bggh9t0/1pt/7JX/LnVDQvCv
TEEwPTDo2CB4IboBb+NfMQaNasiVxFYSpG57FuwY48ZCHHlIswaAP02wjUAR5QxL+otMgdI3iKyj
rxDKrjg9i3RfJbbWbYn1Oph1nbg3GNso862PcM7xP/xhtowc+j5ttlqHrdJVEVJiN8tXTScYjZH0
1FpV+BVcqLvDAJA+roAhAlVaF2kLd4cprztqncPYohC/jHqaL7q9PDGQ/cHuNppb7gg102+3Z8qk
dwPtRGHTrNYxTiKgOJYxvKyg3O8A7naBisxJu5e0rVLoEI1JFqRaaDhbp5lEj6RJe8Hz7d4I5heg
1z5pFu4ubV4806/zHleuM+NCTlHN4mgyi8CFga+2+uhqe32oZqIyEOJ9sqdIvcm6MMWwq+XCPPOV
pmtiIoaxhI/cHKN1M1KcBlpGUPtE3WFy0Bl5haB0bTiqWRNdUWRfjCI23pxosM6z3TGdI43Bb0YL
lT101mLu7HCODeYANjxrUz6sDxApklWoAiM/NKW60kGegzefQ3vDjS+8QlyqvzuMY5nTFYY31yD2
ULTDKxmheDzCMpMvssB1sBfMNcUmVuH87ApdPnRWjo7WS6l/apISVnvhw/Es0XTHEF3WL9vMIKmk
uWhPwzANH7JQ+ZlrsMRiG1n04TWSJhvXSjeNU4+fsWyzm6ERzY4ajnfmF67nRJleebKFdlTYQp5A
4sgToGNxxd1uDwesquMJHwYHEiSgl/D24gebyqaoY8iHBaXZtGBCHhf3voqqCAGlHN0g62VKPoSI
Qj6lPiNN45KBS0U5qJvk3KVugpO0zfw0syd/WS0uNGJOAqsscPTjPNiP4HM8Q0MvaLpswBeXuNse
3Cco3GrZdsVwmivnLaKYIshZ1CleoH9XltNWTMmwleQVoma52EjSXgLLZVOpW3ntJHeuCEPqHUvU
ulu2mURPi7ZhLZhMnA7bIhIpArbxYM+ROvP1CszWMMFLqXSTcRn0KoeeCKGxZ8hy/caEwggSysi9
GKfYruZ8EDTWuIU/O/mSoOx2DFdgacyrgrnWElJu6XlCXXSzB1jB8rCEN69gjzZl3sQ12kb6o9NY
0QZ2pzjio8y8JHOfZLy0O2wjeMUH4kq5O/d7Oeevej/6Vm9g3Ba1ejLtGXS/0Jj7R/zBYjYz4mmZ
RoFOpws0L+3Qms5FH6hX7K0zwPo3qYinhbdgfpX6hsZIWuovBZ/Sc5O4ajslPXwC55fFZg2EcURU
t9LPZS18k1SEr+nI7MwO3mrXvGZA0X0jzX46VvWNNjvkrabmt4sZZ56p+3kTfcdAyVECBr3HEIao
XpjPB9rgfsIQoe+GD6RzojGIJwE1Za6tg0QaT4px4SXq2k/JVGQ7A1n91cjhvXCNO1DJ62sUIQVr
s6yeSBQQqYlwICIRJvQuZPMvGZaQW6hXY+AHKNjYE4CtpsDOUk4SMh+3NdGhYAqTu3Xl2UfJlyHs
fCDSMSbkMX9ZVsqCPGPoamxKmHGuJfV9wCPP+MvCs71M4U1nlxsqbXd4fjPfHAxSa2J9EKtwfMaN
P4epro4k56e90BOwJ1CMNG8xbKqCI7Xc6Uk+fZihbp8aXEM5zRm+oWqHOXY1VJdkYnrKsSZh9lNT
YEULQZ499SqZKaEpqSZlJTKjbVqgyZmNpW/IAWNRnjLjFpcwvlnaQmyObzukjMZ6KLoOGavoa+fY
5239WgtIaXhOWXu3WDdcZ1PUuFIcQid8q5y482YA0oSoWgTwac1zr+Zh2eJI0A8MLRCwqEfl+w9S
2qcLE2tY39kfEbrKdq1za2PEDElURXFO6KyGt6oqZHbHTJteBKkPFCLRmOH1oVvstLFuN0T4QnbC
AWk1U8YdhTf1GTERdyVmg8doFNYZeZkKM41Vrx6n6IzLog2IKA2EGCxhPlIxzG4BIcCiKXVUybu9
rOracIzdarA0L5GknQg+m0ednLx0Wft1Wg5jziuXdrs39ZK0nZ1cGHbcU7cGoF7jZwnwrWRZjfwK
DZrxZxvSoWdWcxbk2RpifLKKwBlo0DCi1O639LLteqv226YXb5Sji2OsddV9Hulyq6dLeL92LHCJ
WW5oLQiIglkMhaozmHa+q0V5LUBab1qrqK9DjTMH2II5ThyXc/Y/IQJJoeJmiUdzszDsxRVyQ6cP
hGY0KiR9ofdHG6v5Y3jr2VDyKZmj74mzmCRKRozj4IR3ALwUqTE5MtMEQ5KT5DXuXZOv3hLXd1Ag
70ko10czt8C0zMJ6SvPmV5fpTCf06lyDN2QZGMpA6bRr3DQIBwmtqTKm2XzzHmHkIVihQz6VI3L2
yjzuHJWl2KrOwMZhp8VZ0XF/X9p0jDlyHrDy88YbRdRcU0KA9yLXeO1dQT+309heVYYEZ8CwN25q
XRLlPrvlQjJKb+K93Vl8HwfjtYUqw1i4ZkNLUgw9nSV5JOJwP2QkUwe8LA/N0EZPTOei12Xufg0J
Ow92bpK11RTe0aDIdAkp2GsK4qe9bT+OM0h2iwV+bygt2dl9YW5cUxYHg3QUbSkpuYxZtEfQqJrf
WF13KWV8NovJoQyjXugCjj8aOsGfwah2D1k21Sdbr0we/nI94JLiEKWn08WUAzPjqumP4PHaPZ9S
6Cfloi8eK5ZzDq269mptPhKASM/4UgW7mu0egBuMh4q2jU/wyUAOcbB5TLNe6kq9plG5zVsTuLre
6jxqbnmvxpDsc38b38Wlepkmd7piiHGucV6+6CDNPEV/QIw0g2Hath7pkGRUFI3VHm98dWpZV54c
pvInOnG7TUIdDSURzGphS60q+daYlsBxyOMhd8mS1CcEWsRFWljA1GeSsQhzz1OtJ0UV9G02odOX
eR1Qf5B/ZFKLk4C6nY8V0ulXfdKSi2OsRDyg7Y7Eo/P1YxrNzME91rH2d5F8tGkaDqBYVa9FIa37
ZXAdj/6/7kie/GXphdyb7O9cQVkYKZnQHlzyQQRQOgrqB8a23yY7Hn+Npl1shhTHeYGuzjzbFdkd
2Ptmvzrz9Kum6Opx1Et1Ip2Z7ELhLpuY3/5BRVBzxD0W/1oj+2da4OQuScbuWypptsi7/VmLJvux
N4nXKpZ+f+lAVwQ6blnsrCYqVF4JY08Ke+B80Vfi0vIwiADckbrdQPnA04lVUKNVl123lMEIuGtb
4qCRm162DQsq5ZSHUDrM7HtpHlUX383J0O6pmLR5nxjwMHFet/WYmXdr2xifmV1LXhFe8bJfu188
JOUtYajF26TBActR07WOdju/zRXCNBVVP6l0pV8rN+3XHt//ie9ffY9j/nuqxuhAriY8pwrnuwA7
HzTiFoTHl/pSu1W+xaf1DbD6vEEmG7AJjQERspeIzbyyNCIX2lHaRO4dkMO72OjqXT0NQblm5wJA
Ee8gIYdyiJ6aviKqF1/Y8LiNGBYOJejxYX4e1fgAEdOb5I957XxsqnjI7E2oh58rMZ4d/L17aooG
tP/1o3LEHanMlm5Go9vWFPlsLQ6a/qRx5mmINTOg5dBtqA3ptoCawR1dDMmh7MZLS0Hyjla3aOOw
mfj2UP6ou+4rZ5FDmIjqhetItBHMaF8Fbo5bYKYJtMU4Akaje3Ba9SupjRAVRcuDWC3pGx1LmMUS
t9viSHH3iT2Su4Qv4PUmJRdKUBU9lfCEOdiSf855Kav+ObsCr7buBriUsLINdr9zYNWatGY1mly2
GocOJshYJ1WcETQKf+nACJoYzyQFTpANFkzQIBvCwzLpDlarqA0KIvPHPusy8mKhexzqKdpmNBax
rjGtWdeStLzBcBXgSbKXujiKmW+5mYX1fmSId44ou/dQxEeGSO13Hd6zB3zBk5lJbzXNAYFBXcC5
oZnGb2ByeXPhRB3HB0wbSz99oLSnl4Lc5pUF+a3sm/apTGW4M3qDA9fCCFUt1n5dqzngh9jXgXYF
oA7LMw0JgJ7dvjhGEeVAOKu8Vs33A4TmfTVZz7BQdL7XLlYmFVTAPeFLHooQoieE73nbYIXuWVVc
U9hnvV2Y81sjbgJcwR4BLIybMjY5Ks/ddloFy2g1gAyI8VHVbvldNHbPuwxATs2lc0bCC6+Os3xz
6JbdM0lCYZ4w/pobdn4RxxcqOrp90pkk+wEAMJ0yq11o2T6dgvFGCn3dtqQ39/RAY8sw3HbPgP/F
MlHaikYgMnX91iEQ/5KLLH93owuoTr3FijE5/E1YW8tsmTCCcIYP07hnGB8+stVD6rSaMwOv/dzV
RPeNcO9GfCT6iHinxKYhACD18kU2KTtdRE1p2zR72hFhbE4Dp2x3O9n8nKEX9MxnyxZy12sOLsfr
0yk7RM00nMRA/irsiQnbmcHeyEFDtYmf4SMnyrI1MjKFuCrLbRQzcS7c/LmMBH6lug3CIty3hF/p
ZO3ToCtLmoWj+kg0vQvE5OSBZrRZAK433wpBjHRNh9WbLV48K//BINRs4js+kpamzEJL5H7Fqk2F
F30Fhl7e47pq99k6qD2ko2q/UOjEUduGRzEkD8Va82AqTszExKJyOaRzBukwhdSViPTHHJv3nbUt
Oju9j2jh2E/M8fZZ139ta8AMjFneG/5pQa5ndjCxOJzd4jqMPyeusCgVklZXQz+4KUYzfK8csb9m
9jj7dvGepXWFWZPkRT4h7ox4vUr7R9UX70IZI3+EC7JRDC8ZNnG/4iaRdVawyMs0uHeJY7+Zs/M9
jNxkswARC3Jpn/oshQCSzpdpCWffxavm2QumYU4nXMThb5g1D6Wo01vsa8WPHmvzKUVR3Y4Q5W/5
g5oASMFFYsD1uEbWyPNMiTd7R033C8wIrrvFKda0BTZH/9DDSPTTfrzT1/6bMvAkuM30NIcls2RH
jHAMSEHcgmmlhqEiq5LOl6PzwIfTbXkX8F0gpwxxFtGruh5WW26Azlh7Bls9skLb4PmMLc4Usb6P
q4rxqVp+gziNX3kg7pKISSqerN7AeDcZ7sq5sjYxijm0hqV9Q1VISe616E55/+q4lJ6NYzfdk0qO
WPDWNrBuo/1QUuIUY8rRwEIesOJRv2oU1YkyMobYseBM07VcV2qUXSItQuJlRN7WOuxjjbNZ0qwN
iJzd00l7LerpGuUDdz82T6orkQeKyYeaMh2TsIkCNc2/KXinkUBd4Q72JolYfQEGPScmGUNkHJAj
tBKKcRLeujSL38e6s4lpwsDHmbiYwOflEfvDNW/ZiRd3H3dO/b02UvDBzUKCHAloT0v1L9g6vZ82
WnpsQKEFrlwRKwT/mpprFlZd91eZrUhCefk5xhM3jJT3KgFPddSx6R3xHePH68SnDjXIX61q9VQV
jx41vgQMKyIxFeFqpgar6cW23m1or+fgn/TzNVw1F+wEqAbuGtmF0/vtImo+8Xc+OM6wXQCRX/Dv
CCSQaNyEApNiMac0tevGs6rDy5SzbVfyM2y6nUzFY8FFfN/0yaOcOiRILX+kLNE8GflyWIrowalK
GucKTHUEnPECvuKK+gFYE8pLXplBu9IBBc1n8qy6LQmsVuQqccjerJdB1b3ZyWJtMYw8zTbEmdUu
7htn+Z5jBZIxlgeguZofx0aJq6dxfF1nJ5XdDf0TkHu+g898jnS177Ty2FjTB/ONJFiXadwt0Qyn
hfo8lIyhgB1EX3JRsiYY3Hk9d9W/mbood5Yh7ruYxvHFEHzTU5rVJ+rYblZmMpGpdHvKYRvkpWH5
NTYmvadWVGLVmz4Izt7MuyAjWqqOHTdMSBVzKjLmcN0V1aJgdJjLPqE0YTuM0Udu5tspJsxuWM2x
bc1dnZKBHi0yT3PYKX+4GXEKLXrokoxN0RHfcBO/w0m5R4a2glblMFKjgbGKCBaHQS7pHF+k/YPo
x1c0B3rAaxJBNCcVnmVHPKw2pjsDm6efr1m4y5by2o8YJtXbUlW/2rBhiVFmTptQce+Cc/AjQ+X3
hmuLrQn2iCQIUspqkElNNAIES7eryCZv7Q5Pur3o3B+4UsZ0y0WiPWkJ3e05YRw9a37ORv8atd12
To0PErcdXnqHq5BlIAomao9vDiFPIJazRzdBlxerPy7ONU/md1O636mN5N8xqEc6WhZ/VDXOGhrT
A5x/NDC5HBtzhVoZMqnyS6PfLhU7l5PKAxEBakb19tGhwpAyPYrJ6RMGfJH2Tzk6ClVJRrWh3Hfw
RJ+OKJp4YWYdGZioHfYkplOenTcvYtLeMyvF/TUn5nNu1q9cydygHmxFDCO9ayrK0VegCH35qco5
iHSGTraJ90UHWEscLg79WhktdiT1gzA+JbEgBTz6CbftVFxtOl+D+RZfQKCmYlYvHwR/EBHXCIM6
K3aYyY+lHBFEbVAQI38dKJ4UNpU1R4RxFp1QViY5h9PvZ66CrrnFSbyOWC32evHDCitFplYWGPeR
IBVmYXBzaeePJVpJbPRvtOGxwZvcurn4GHXzy6LGibWuorgRmphfhBzfI03sB4RT7oosdy5YJurf
vNXRdb+mFQQXegieirJM8ltug54rfql0PNAg9xO7FRN2nXrg7NCq4SNygG8ANHpNlAEXyYyvC52/
rYj3w4xZpuORW/VmpriYmu6Kbf6aYTDfg9Xl18qUfN7IM6yKeNnGTHw3LvoUUbRK+nIp8cvO2SOK
BKEU1hvYN+nS2q/x0J64YX3n6jztEu08zuOOXMM9FqCXOVvIY9D5h1ocHmfOzV2O6pl8QhE/xnL8
OpDP0ZuPxHDfnGJ4J9dhvxY9ZcRK3drGNPYYgEAH6idT7Gdaiat4yHZ049ReIy0zoGN0rzvrbu7t
V2lY3/tef83SLt4zTgp4txzszmzz1U+H4xPNxYwzcqrc2uW9bzvbK1LjK/dEPISzIQOoIHREpFyv
+6hsfb77wWSbx86uP5l0ToFLq+vRYYi1y5iCH6xmMjxuEHJv69TeI+N9pCuHvKZoH5ZBIMfnz85k
Pjjky6WJP7PO6H00tJ65RM0xB0fgj1jrm0s4Cj6H4d2pqtF3xoGEpBNWvoIqtIG/RsuqWGxiYg5A
K4rNT6jppzl3T5bpnktIieSu12/VimfXqGLXqxR7YKEw93uFaH6qdZoXL6S+srXl1VLGLeOePVBT
ySjG0j19iJ6r0LovBut+Jt7OAW/ejJ2G2Wpa92Uhr31lrl4J6cDrtNpik7EXL5n6Yu9wlPBESmGi
m3AGk5P+MFIvwl9OOeRE9TYUwUCGHIfAAgDfrt0siDuFi92e8MU5nfsYI0b4QzlV10prPv6/+aNf
Dj9wJuGK+DfuDxAnyWf81zkxf+If/g/FmFhTkA8JZVsQev8YE7tfJKs+42OJqOeC7sbGU1btbwRG
9wvnH2rgtFsrnLRxdP1Pr5f9he+uRr0EfZsGtXHm3xkTG8xn/2oAwUQEIppmF8mAj7VL/osBJI1o
aHfWOfUZ8IXHbih8N18Q8dXXMCL8bKrm6LbdTjMZFmt7ICn9xprfVZKCpzJym7BiGT8DGsHQaIk4
e5nSioQsvggsUVP8DAyDOUcsd6FZ+S57q6/jOoX3WCcefsZtkjx3C8wnHQV41EkdWCQ0KqqVdHIr
jGkON73NyL72nazOpvu9bQeSKawbPK1YFVkzyFwHFZmt1LlVE9XH2R5JOhrGpSzJXHXOA5WNfmm9
CVLqvbv4OT735gaPybX1Gk9TF4SruTNQt7k15/7CdVS0l4kZaMthkhTiUcuXb7g6ey9ts12j19uG
9Ehbch7pwq/jIvZGxoRqJlGayDBoo/eKLgQKJ/WardT1ICR9tbONBTJmML/dhJ2aPMH8NpI3DpbM
MPfKLdDdkCM6oFLtoL00MEPKbnoZMutzjSnEy9zsBUaGsThB4mbuFqzQOe80OmFLIEfmfHIzsVeY
wi2dYxnFzMcJcJ7vpvHemh6hfx0n2pdfVWMy/Hqmp1c1Lf9OSVlcoaNLz9c2jZn1An7aZSV04VTF
D5Tq0mCu7YWpOJkWZ21+j8fUfaD4U3utaqd51kUyXHBxv/Y9gYe2Z1xWcbN33vS+9oiafTOsGu2H
IV37RN2SDwINNEA0wSaO+whHMMf+sK32VGVvlPt9dcQFEf3U5/OI4l1vSFQc2WcckkJkLEh9jFx/
Xtuh85upoJUdg+/GSePHcl2eJmK331c80GzTbyHGJTkvHzibgigknpnm9y2D17x5YC9BeKY3IQ8D
EgRRQBi98otaMWinmgCvd+51rfWMEbN7nYfyZSE2hKpEFVdSLem2SRkt9ZpG3LHSmcXpvgvEU3HP
kQgdytlM+iVZ8wdOgyc7JP0DpcynUcePU/cu1DkwFlHQDQnBf/lAUuq1qnhLocdk2dHKmSdkuUYK
cjdVBaIa9JWIIdEhtFNEAbaqmOJFUQUROMHWKF4cg2Zh9SONQJRUJ7qKr10B8cSsA0eCCONehHiD
buoBsnw2YvcpyT/X6EQ+7MWoT/zohQDUsDE4itvj+1p8d7sH20qPJtfFudoNbh3c7vtRdnJRu+ah
umn/VOWRMtFxz2szxxsrfvgf7J3HcuRalmX/pecoAy70oCfugGtBOjUnMAYZhBYX8gJf38tfd1sJ
qxrUvIZp+V5GBukOnLPP3muTGGbYLHFqttG6ZZRdWCdmrVtXMn0BtPJAHdAbzRAXnebnhdsH6595
J54mShJQPhReVZx83mUc4p6lEz827t5UxR7tSQSlbezKroYsg9t5xdGVpAkrA1kztdM67VelLpEN
L3sw8vYMN+t3StPPsh2IgsxkKeLF3SJJhHI0L77g6jho5GURAedvY5HxO0W0HnfyutoWUdUHOs+N
kMzbc2KN42GBkXYtF7RljRoJfvzatJ/Q+dcZDhi8Ke2D6Oyn1qxvuTedc25eBLeqXzIJ9iuKJsmh
IWblFdGzbQJz9Il9q3VDuieP043dJYdY73ZjorFi0xnmEa52u088XgmVYE6zssUfo0Csi/pjO2tP
Ue9lJGI+LPZ/Ti99qIBebKqiG9aax/wcD94UWPQj0yUfxvIrUsMqJua/rukwqcxfRCbEJEe9D9ax
xsEG3mB888w+DkdWqx8c52plosFyQW1n2BQMlED/vA6QU0tesFz0z2nIXeRMVoEEZntIuwSXh1z3
t13Fx1QiYa/yztaCTl6ZDGfiCRaX8Qjxj3X9vRTec2K0+jbzCYQzAerfIwHyNVK+te4WOYfAUkIp
34Qr34FH2/gS39vyoLW+d5MpmjitqFHh0pDFfM6XLNuNfDmYyyuyie411QF4xESDtr35zYbex3w1
Gp6Q8kg2d1/G4ydXQRRaL9oBVEPC1jfkKQl98JE1v1IO0UnMOp/OzEtkoqYiiOiap/nnXEzpih04
XpGI3urze8fzTLjah44tEUsNs3Zp5Vt7qV2kbDYVWnlvRgRrcWpPEDhOTZndEtt5Mg2dNJNe1MUR
1CyIkPSzU2paJYM6efz1RmgJY/uUilNHDbXD6pIchL4Ei/dIEfcH3IEgJm4UpV4wdCfLepI8X++o
iESPPy2UTRLt7IH5Nq4h1Pn+lTvoyqv3XXvq4veol5/Q8oJEHkYTPif396Fko8MI6Zf300EbACC8
yLHfYvg+Y//4SF21d+QLfqN3j6s8Os189AxcSlNszmGlw4NhfqbKzrnHUnv34jRxsrawNSVjK3EH
GORrSCJrU/4o+LP31tL0EMJjlG6yt6V7wUiydROf4G9yKXCj1SO/5dn/sWakF9LQntdykrP7mKaR
YjuM6VFlcj+IBBcGYwZeO8LVI9pmRTIuLbI5aKz8o9bq52iq/sASO6oWysFURgEryLrkE0zB06bu
6/FpqMgj5t6PQJ7lrG799I7/1hs+tIG4PyBn8g3q8L7AbnU2aK7aMdLwc3GABTJQgUlwmcmLDzDQ
PPDUYoYlmU5rKt6NeFZ7JXEnSYG7zNMWBCn+Mvr4LFUGShoNptfSDT0KYea27Czls2ZEj4ZcjI3s
m00iIyokcKqt4X2RpeVRlXBoM3jD5+RH+8U8NpBZI7UdTJLLGBMyZ3jtnXHvlpTVEfbhJJ4urKyU
GKdLHeaecSRvcx2yvWWwl+iT0LfS5acjZ8rI8nvOZYcJCUljOqYgBe94NzPd8xLDsdJFm4wC76X0
A0el17oVq0HXyJByJuAA4sOWMkr51JjlI165q3DUjSKVUJlR+UFJ06oYnKdc9h+6/luW5naof43Z
PEzd0Yi/YhvHnFntQeesFecIUm9bwH08EU4NoklcQaY9j95nJA76+IqGv0YMXqdgq5uDPb9VfsV9
at7lGewGnrJGhb9gDDT/1cTm501fHcxTu1UcCy4p/+Ko4jW/Tn53GKZ0m0MoUOBa7SYj4XVRfmb3
Aa/XK/HWUgsjgCzXpgfd2FtxBp13YvKgZTgktpZi7UKm07XhKZs8dFeq5knh/OrcFqBYHGNrOqU1
JDm3HS9ZsifswCo5A5Mp9YtSMkgH67sdJHkw3WKSqXdGr5GXRw7h/NUUWKZFg55ik8L36kcOIIxv
6k/VgP3BF0EyXwOBJw4idfbFXbfWF7WxnfqF+FmIVHwzurPAQYcZ6nFIf10dlgmUSwDZhy4RB8DT
DzCmkBZLj7W3x1XkDq8yNpg/+jBKIwMVMAore9o0GIOssd2njE4XrUibct1FsKtzHpwmHRAr00ry
EBSzcjgOAFtVmGP4XWRe7W16hLayO5j2eSAqzEPH/HWi5aWe+CsYJiDZBFXMz8xoh9GJlSITD8T0
PKjjj3bT/gGK2QcwQ7O1o6hfRLtFtvpUcx8uhnYFP3Xt53w/1T+4MwN6Prm0JeSwqTBjDyBhZ2dP
AzxJK4ZryA+07vZY1oJkwXJHtvusF4jubUsInWSZP7/ZyfSKKegM9ebIe2I9Yc3Oav2I4T1IYfvB
SdkJTaCKLRgEO64ojYUOPLYcZhyXpnuB8ptkmHQwR4VNlhwlJVwNQgalHfNKtmiM9fCcdcsOF0DA
ovMMKGgF2hZyEw+VjKPnWAkv6OhhWzlj/+KhE0Jn1ZNwwvGTWc28gnwU4KD66lK2AGB/34yu7YdT
8fzPlaFfYpiCPDzGarvkFIjg0ZkrnMCaHURZZbVrbkEz2Bd5dKMm3cVi3kraj3ZEGex9gVyc9tET
Rnz0CaWR0Ova5qVdWp64SV1O7lWbVX5VC3dYx2i4co8VnlkbK9iiA6WGwgSeB5O0BxPG37hDwegv
+WEklfamvDq636XCdjQFx/Rebcgy7pcWjoc72M9K0y6eJzGN1h6fyKZW3oaAtLG2dQdts1p2tcfa
V48D/INEe0s81oGscqNPDVE5g8ZI+pOJ3RA5chzkVExqHYj4/q4I1TwOLBdLfn3IOWGC7depDINY
m9YNYmT10FIkhKD4k2Z2WLS9CIBOm6FMc42TT/VlOGRloRJ2PwbJzJ1XeAWGRmMN+oLZ1YRvPbmZ
tvVqrTuRfazWd4cUxn7O/+ngn5yeF1kbaytPgVm1R+tZaJQigX2tqdbQd3aF10mJr5GU4KauBrkD
8qoFk6TUZenu4duxNffMP9vGaHn4of1CPaxIDsO1GbEcVK2xcpZrL/M9V9LHTvevJeNfkkYo2OOP
u0AmsvCBOm0cRNL4dbziVC3OFZsJsyZfFjFgayyZHntDY/vDAr6GwpJcVbUglFvsuD1p3FW0VBSX
2iXugtYUa8OeS3ai7rNpxfvUGjcTtNHc4W2VMuzN6kpAuDvm6a+0vI8Wt8Tku78VJOi8yv+2o71K
u+iLOr6dKL89/zWeDFD13VNbWM/2PbgZzcm35jpfdtt9wtH+cLXhloLzWGuWuJZJi4ttcb4aQvVY
esKZOOquUP2+EwjyNZUw6U/JEn9MnDoNPFAGqxFDzsruKHtF4MTSBD+1Y5Dg/vvW6na8qYkqr+SM
DdJrLpqmLeClHkWjkp1ZfDZoeMjInIlTu7/WrnRCeN9F4AzdeSnwx7hZZXLo90h/1Zsl5tyg668d
rxBuAs/dfSVMhz8U0E1E55eGB42jwEBnW6H6AzTON1LnT3VF16TdXbCFAkBgmGqWnzHFwcuLd50A
O1pJDnCy53WtHIa2eQpn7x+y75at/Aaxb9PnGM9mkrqkBA5uGwGD8eLflDHHQNIEkf5Q6eOP3zsy
4DfL0u/GfB+rd29xNwRsGjqWSY7JKqxa773NSn5AOoViVePTluFSRiyCODM+06x/SPG/2Qs0p/uL
RDiSy2tWhC69sKjQQSEW0rv+tr0z+Ai4VIZ55P5Pf83wYgtOozTnbCPlbkbPCHJjClKCai5uAZtR
cgWIbZU7867t1YoOWhMVRbxhrrtn6ZE3jI41u1m1U79POH1mrvtlpfWu9LrDkPIm7Jv9YCJpqAhk
HY21IE/84oR1lPtzZDyYjXnpPaoITe2V0pZxXWsNlGs747STMLbu4q4ZTm6NGzWWCgcnvGKMuz3X
hi4aTj6GJwJTq15bAmNi9MPLipY2xvZlnCdC/WajjH1CK+1lcu/DCaAbBxpv46lHd4qLOKA3Z3rM
OlzPqBlPpqTwk8TE/N434jA1OaIUHeWrfkxIBGTdH8k521c/OIcp2e2fk1RdxtT8W1e0cnj1JC+x
2Wgg86x2fokjZ8oRpPA6IZPfRwxuUPO9VwHOk5vJekf4Sb/JqDryf5vDrt49VSCOuIZEdDBMnBWV
qa4jRBEgdRzZ+QmaTnMt+M1rnCqmWp4TPSW07dRbnRB/QErVCaz+/jPHQwy8bh2nMCmK5DWy6xAx
vyR7aNsnGzHnQkGtvoZixfdufm9gH7T4CDa0fcnAbiY8Yl19a4c8PQ2cp0M3rTaU9olt2UP/MXkp
53c0DpGF/Fm2HAKIn3GxnZI80JrcUwFSEGBJ9V3WJC+Mpn/Ihhn4NioF3Ds2kd0EiABvy8bgPLnR
o5iUQar42Pdj7Fx4yOdvnkDYy9gFeF5/DDNQvHhifukdkL52CoKi6OfLYHfqZS7T+Qs7afybw7iI
oBvTUpbK+JugGa3IjQlSNrfrtZewbCGKHPCOgNxwDmPxahvs0XW0jrmNrLzBfhrchJuRIv7FQRkQ
VqesXzNF+8hnLSyB36i62kBSx/cfs5BBIzgnQ/OmmfqeMMpt4ku8GmVy6/QxWsWR/dsnGPuZUUxn
Aul0SrIjadGgdqy1xdXZuF9OzG+gT2ujAKxmDTe/GueglObZHaYfMUneorLej21+TN2y2IklumWW
PONp2+oKaWomjrIbez76oDYYEor01sIVKF0fMGQ84g6RZvpWRB9dpk6iv/nlTTog25c798+JrwhT
jh2jcxbcj0Geu640PhfQJlzicKKNFLo0kqqETp3T6E9jPs2DBUzRvqSt+Q41rbXfBbIckp4iNuCN
2SVV2hqMBJtwogX4hENLdiOjyPKO5nGgQXNnGCggZAYOLgZs0vjsAoZ8GvE7rizgkhCPBkzvTr5y
GNBR6cEReLcUf37WO5+zsnve237otCCCjL50EVaAUtvPXewGNs+ynlfsgJYAov1Y1KT6HMSeFAGo
w+0T6/NaY9gTJZwGIaw9NO7d7At8wuMMr8l7UxHmCzvyVpNmAQ3iZYMdWq6q/qPTrh2iNDYyrxGh
w4uHouQtN8+V02WB5S48jpbIjwM9VtM7N6dfzY1/798q5x8zEMUdrf7eFzyAx2q5NaA1LLM4TFXQ
Vnt00EPn2kDTaMy003U2bkf/LeezoyL9cShrLsi6vR7HKBRNsafJmi90/1TfHxXac+34AXSHNazN
Vab68zhaW6nfH84+dfbfyig+O5+K1+jdQZSAeDnN3t+MDUdD/My5hZJmXtOSuHVcuB4YiJIyrIYw
F0+J+ivKr8J7n+m4iZIfHtlHuOahMYi1k3906QuKhl6m2wapXbcWcFfTpSvsTdexMhjGxfI1HO54
7O2qO5bxb1PzVjHKcxspQqIAOwZ6/eYZ7ybYl8o2GdjsNQn+VdRk3kZL3mDUb1hyua1ZMQjRz0SY
e8pP9kABqV8gIXe35ZYWcAoQrbbzYFdPnvlV4LsVcxKOtbiVBQt9a2nbQXDxJ3V7xRNBbQIrOgND
SOdboMwWdyoKtdSGR2eZ/pRW/FMbvAUx2D0UcFUyGT/idjr8c/qs0j0WJw4TZQI1UxdvDUU3jnyT
46XiChJNr4aZbpr4V3FLkKDpxVvF7ZT+Cb98rWfFD7dbW85SPizaoEMqrPaauuUjpwjVOVtH9WGR
ewcrHU86V2JV45ow39OFHrpmei7EZzFxZxzd2whpFZ/vyiFKY0TH2P6wUm9XNWPGzcV9GWzsMczP
J4vceSqLY91fI+i1z0ZKc6+m7WRGToDYcdn51Bg9pVl0FKazhnxLUnfeZHYcLjk3ewH9yfLWPYDw
xF0vGimr8oYXs8K45wlRnp00jPvPQRxmxN5+j6uP3btf5wTERv3AjcdoT+xRlnEsm/Oi86NDnEwO
ubfv0gWw/aFiOk6IYTEopmFVvRbLtYAvZ+ufGq/w7ETGhtDWLmN+SNSzNWbnKSUdhzc2ivjsHPyG
MFgeB56UQcFH5r4WWhRppMtPBMvKz9RjUZcrkFAevUkxqMqx6M7oy/V0l50hIdqskJO50asY14oI
C8PcZuaOJOellWebqvSizhVED8YklLXUG+lbEPSE2FfJsBS98fhfRS7tIRKO0dEuzg7Dp7are6Si
jZli2Gr+qurV7OCThang/de4N1nyjxr1OUqRQwgcc3XewHdJuGm/tvDf+pRDxz8cBUuEOADmxsQE
26y9YuC4c2kJx1QxIJjpw8wely4AYwRYyFpRVnaqqq1HhAd5uL/TGEngAQK1YMZbiuDF4j3Rs4sn
FrsO4wOHCs4fnr2CnXfUBDbnuKRpS1jEsovMXyU+Rp95MsN6GXY56xfjU5jXy14YGAxsI+gMwqH8
EgtZD3zmdDf0zMiFoDYEWQPZnQSY4IFH1NVOePkUxkrqXrm35o71rDg1GOOyYjh1C5bOSmuufRJ9
TU79aVImt/TDG4l2+ZaNRXUg1c9QaOTNefbbj1y9LzqhBr3rvilQAom6ENK6g4OHdTrQbJEEve5t
SswHEfUmSOQ+Yb4WfI7WOqsGNJ7OX3r+xIiWdvMaoGtILih9ARNynV3rNMsIzGG3ha6YYuxmMEH0
fc45Rcils8MyS8MS0nLZ8E/OX1MVlv7rbLzK7GKKiKgKtihNAurEFY5lKxKn0hwfjO57MrV9Wrd7
4X35uOEydFiRPkQ6jbIuvQ3LvI0JFzAqTHm9T4r9PIRJ9C6mY2U/oXNfWkx9R2qyaGsROKfAL606
2T8tRZasod59+HCoCv+DerlT41CU2nBnkxF9HdLjgVLus2I567P5U8V/LOTjYECp9Cl/WsHMSTfS
rS4oBiZqVKPWuTWeMOLeMoxQBCHsXWl3+bWK2vyDNlRnAyDvgW9YH+Lh8cIl2XpoEr72wabNl8rl
DtQNH/mCryVfNnAlH+MyabD0pH8jjL1dIc7+GC+HlO6dPo93sjNbpLlqF3safVMZn2dpoE8jiAba
7O6wOPuclnNuvJCEas0Hs80lV9OtC5V03tFL+xHqn/VFb/e9dVfdDPQh5be/Qy/3cxYRl8zjnsMX
mr+PQLlue64iSj36OHu/yO86QOUG7wCa6OIu/VraXzOn9pVvGQqxCJElHp17k9R8pm1PhhTEOsQ7
Y4UqmMhHzY5uy8D+MdjJiw8HZI0W2ayTqNH5VnXxLisN87E0NpGPS9xNr1OCu3TWCAyVqfnlJ0uK
kErc1uQAcpU8lXB8zdOuppudZ5eeRm+shj4fIX/B8BuTFph87VDKwbBDZ4Y/B2C6Cayy3TWueosV
vw2J2yu02rdp8nZaAruZRGBOiB0BUbzG+sISJjYd9Q0Uul+dUe65EW9iT27I+e4boZ96H9ggntEi
00hsCaUO2aKvGvARJ5W31K4smr71+SQ9uM58NOp4BNVWAbWucruAUu5iZgLXV7yJoSGzLNBJtl1n
Qa+GAu2CqCpNPJO2Ez+Th28E8bAE+TJP+HMDXGHbySnCrjH7Ay5sgKiYQY+Dxd+p4+6AStvn4Mgj
L7U3UdTUW0xUNxt82a02OJH6c+Rem1jIrVllfZg7qXhxu+acTyS+WDZBbrhTuzIatpuRKFZQ1ogV
C7alJ4nuEqLpGw9ToSfAZWen35lLwbV6UCV+WUek86McJVdyC3vtBsJZstMtVIfSNJ6IU3wP3mDk
lyoSJhzZuDY/ptKVv+Nd5o0FeMJmQmsqctn+LqmOwzqmjpbvIIjzyByuGF7d0Mxb9BUAs0e/0eS5
5N/DyzATt3EXgMSsMHd3NycKFXLM/BmbuVsVdGg9tI77SuyTmFsT7TLMG5tkqMwPju6cputmuA5i
0UJYBjw9qskI9EYvNvaSUguQJ4y6RT990hf0N6mk1e8qZ7JPspvMrzbm7E2QPv/LHDuB55QM97qB
52TSdn7Ug7nyF4nW5tDlZvHV3026VZ0cDdkJKx6/i55no7IPlWz/9qPRXG0/YXfkIMlbV7nrhhcU
ag9eVaa7Sd+DvKVlo5uGi1HM9vtY+bJeG13n/+opoYuVpWvjVhTtBuFjskPgvjPF8pnaNomG8hvR
GQJ0josWm3AxF38pYMqfhj5qbmOlOk4oSw0oZPnso4quwXIp/vog4doA6x1Qb1xvdD+XaZU9dkPs
AplkgKPVweeXTFOAOXoU0NHBdHfMiw+jGsRVwkH46Flt9g3skbOYFrkVrS0uJSsEc07DXIWt1xIB
ZlEDtjsQZyTwiAsomV2H7zVRzCzzEQinxNs21PaElle1/N4I624iAvzbSj/n3oz1b1CW99OQ9wy5
aestMIFcXPW68v8UrWZss4WeYvK39jlybcDATAkHNGpGKd6n127U1BuoNVD3eGkfOmPuYG6OFXJl
QwwBc7F/8XLCg2PT44UxWSxMX0OTUHKSLBXO+KeYYrvdpprG5kKzzLo120o/tJ3H+1PExs24E8oZ
0UgnRj4HXXYw7NoErNDmcoooYrPvzphCrBZZeI4fBiTgkFVzfMgd7PjY7zXu0oY7UTvWk7oxuAfH
Ju1TfJXZ5pDat8Sk7Rj+vf4GMnKBylemameVhfdJrJtOJD0vFxJG+p1sTosZ1kvtR49KHNQkdn/K
1hKrsuLsBOkLJAd2qgqRIvIvfoxu0hY+KM3M9fi1pPbe6Gz65uDUB5wx0zBqyCBULtlPDtqu8WYV
kfmAxOMDjHWawrhQszVoq4wKC7aExoDSqg2hpnkZvkRD1JQi4tQYIVQHLrFmT9QkgufMe3SbeN6q
aMqOOtVuYQ0NdE2XvLvzMLTdyNenjw1bhhRueckYJ7F9TNFv2rQzrngZe+emTh+U38zbBLSOUbX6
ZsCjTdPugk7cQIFOxwYAXU6BdjbZb1NdyStNHOpBCKIZYybMkL+W4GcdRTtkpP4o88h4vz8KNxSf
51fRVPMLplB+CXwmbnEubNpVidWOKuVTZLWQ8ax6fnYG0sq5Kg2mQmw0KQrFo96K4RGtqtE4vs8p
tmZ99B0AARkNltk/bZZFX74k3BIib7JWIIKmY3Qvv/QmajAbGRM68Azvr5XSbpfR3bGpyX+u+Q5x
VpHsPCuDYf8nm5L5jCT3px64mZOw2PoLFlzSjAgyhaIFlgQ7S1TWMeT3eWntkzbXaSolxdhOJgwV
vDOd7+1dl5RGR+J0jYvzACq8fGwqi2o6LbM2GI7nszl3c6j1Bd+xjAZyiDTOjQCNcxZgK6+QHtWu
vBeLevW9Y7TxBX2j2b161OROIldUMUTMO2P+oHpKSpO7HtuL5DbfC0xnfrdwX2xqTTW89buCptP0
XnlKp/RwGu81qLU262hu+TtBVGCU97JUat/qXUt/qj9SpGoQ/QkipsYX3x7efUHdKmUOyKP1XAyv
2Hhp06xl7IBVc3oEpcXtm117L2+1FZiPLCMKE8e1vmH84ZJ0r3v17sWvtDWIq2sbGLPId9xvyUeV
T+alo9pl3ebLJ1oPEk09qT9RZOpri4bZTk0455VDPlP900Dbc0unsWKORNjca9YlJe3ci0t6a8d7
ha1LOjBgYKD8VN7DKzl1DfMw7kv0PEgqYLbQXz4h4hrE3EYHc7rfqIhqBT//Mip+dTRd9gez9G19
lad3B4ZUkIudGNdJL8vob0V85zQj/EncNcFianh5MtJqPoFZXZ8ozNLHfOeLyf1T5j7mTM6SAGxb
kz+odSHOJs69gUJoF12Aj2zrfBcRfEKHiZWz16eRM5Ayac1c5h50TD6znaedLHA7Remtx9rIiOmN
dZg1It31zB80jeHqKwpChhJv3bzy0pFfC82G7hh0nSAKjDCoriIfKOvQ8LFdKKkzHgDjUgQgogzL
5zAsa8vtsreGHQHXl0xF0Bix+p1KmV4tYrXr2hlRp+lG7NAufEW/hs5NJ+F/D8+zvVCA5nmNfMit
OfrTQYyQq9oZWI9Iw/7Mfb385kVRH/xFn6l6jDVuBeZ4v8Gq+BMPhn3VeJJvBDLUQYxjWmOPsZNH
ba7AdcVGf5yAGwRT0hu7RY3dRx8vcQA4h2naBNblDzI9o2TVYTkJpuhEfRTsD3wTSUChc2DzeB4i
tfwW4EPPfgRLoC5AW6+EoHans119DXqXVEOtWtIaCBe+sHHHFsm8kCeS+FhJ9LdXFfs7leUlmaq8
3zteZdBuyxueauDqLGm6DIhUz1dVY+hpU/dGbt/cKNfMPhIvlw6e16U/DtpQB5pyQtIIy6eMVPPc
9T4GrYz4dOGq/lWnlj2jrkFvkel69wgbCIvi9AjoE9Gww46gz+2lkBnF3JUYrkoHAg2I3/VfWmdo
drVT0DJEmD3U6qF7NLX7i0GNBW8hl4Q5UFc4Ca1XYWAix3FZKmxXfGe0U2Ia1p825oeZmAK4cRxL
Du0VYp7HcYgQ2TI9LlnW8btz9AWLjwNERbk8IujzMN54mPwZuCvuOQzDKUJgCKdJmzfAljJa8TK+
I1Gc8V2Y7GX6cvyZfFh8LiKOH8nRtx+iMiHR2/rdj1QWb6foJPNli6JNsqhnBGjpFHWN+9t80Y4y
Rq20wLn5FK6O+A5bahsMC1NtebSqtAcx4MMcSKKFxNQCcrvlEoTawIBif3OVsD54c0Rb3IpFyrnE
tb8ha0SvQwlXmopgn/s5R3q1KlpdY7DPnMBtIIMGRUG4RbckrBsv2ZZGu6N071VHBBzW3mLED555
8FztOEQV+l47cT6u70XoboFSE6PFpJw9xdx8DKA+tHw5Rd7wqtX8N2bCnybQ8u0ZRzuu9//ByD3P
zd///b++66Hq2/n2N+YM+G+ZcIBcLcfDvf9fRwSOMKPH+j/9l/5fDZwBJpJ0ke/hsHAN/U5r+79M
WKGTBYAtiuEfh63pOQBI/39MwPwXAeLN1B0P08I9J/CvMQHjXyhrc0yfdCNXVsMy/jsxARYGEgf/
jhPJCmHZcO7oEBSE8+z/wBwtsoggs8PwRrispQMWEqE2dPFetsCto6XDkIHlCTkZ8Or9tSy64tW1
m5+4Lj5HfF5i6L8yYilAOghENzOdEW49mnBjHQ2jkGs+qhHNZ/D9kXNx9xWnirIUxiQCoXPgQRLg
hEQMNsMBZ1bRK7VvQezoFciikpiZme4SFpD1hBtnbmJ/rcfGVQzqgSUn5VrBC87UjLPXpuKpnQ61
ZxxU1sYHno4vKu3/CmKYK0pbhgstqxj6qpEm8IFNzTFsbrYpHionif4Y/rTj3Xqhlfek3PwdtubB
Gunwii0Jrqkc9kZTYqb17x1KeNoGp7kJnVhrhaQYuPRr4tsqLgumIVx1xZFB7uTN6dG1dHgzqf04
zNZTtXD10Wf6e2a/ruEIZNdMm4twNIcobOvuodRM7WDRPzy08y4bNXtrGWa19TPoLnmHb9M11oJr
F60j9wYL57XHIwTxhG2IpGvmYhT0MZwq03yKY3WRlPv5Vn3TgY7QYsPVkuWdw1yq1Jpqmb2nx4hu
JkXqw2nC96UkChjq0brM7mm15rnIiYVX0n3xu7JapxEBPNdnKdbwyAvH2Ppl+yLoObXnSGOaENV5
tqwixKoTarzBwoiQp5ri7xwBjCF728wcZkkhiH0iGy/AKLUn7vFU4m0hH4WEkC8mnjGk1c5kXLDa
MEOxd8lgreeByLqXo/vHO1HJnbSdc1rQvZJn28qV+OaZxoM4745M7ceJKk2ypqZPduEeA3dhwty3
l7zqSWSOct0azkZ07t/Ui4DCNcyXI5y4Gor5akixLGTD92gZp8xn7zI6IoO5QDEo860lwRrWRrHV
RY+VAUZvJkd8Aeb8xa3g059iqoQk7pmhOi3UMmhd/lA6w1UacES78TkqeTVZBV6uKjTuK5DAZt1l
xjZtWDHSDO77ZHl/7jkR5eUWpfFoVrpRgVjF/I5XrD5MnDgjo79RO7fXqehCw9s7Wo5RbQbTlg86
qHv6cjd8fl4h1eHML+QdLnUzPC6C+XTH9eMDqlq5yxUl86Q3w3nJKQwX1by2Bz8oe3u9ZKIMGyt+
aip6VJo6dGcuEDNrMbvwH5mC6luSb0xMr0xZ8mCCY51HQi24NNquP8Yi+XZ1diVN2c+CMPD34KRP
dhvRx2qcTHuGcsRyPcudiHEmzTOBTDvdZo5xxZC+dXOkUs3G+TD7p7pQHAGzRxzDnNPNJymIERja
La34tLACk2TH+uhUzyKjRjzKjQ3wky0jBlnHwn/DKBQMicmNOfpiGIvXiykfW68OGoLlfdPslqym
Hirz17bG8TijBqMijIjI9wN2ZJ9hIabEEWmofpqgmBD600FeWHFAZGnceBUPCYbjNeYB2sInjIhO
aX0jsWPXtVCFG/UKUPcYxTXCbskPuOUzJSrxzH+A0TC48BiG9bSg6hhNtKao91K6VhlmUt5vJRBQ
NEL2Dpw9E3yYzIxq77T2xsFpyH3gRRDQ/T/cnceS3UqWZf+l5ygD4HA4vM16cmVorcgJLAQftHbI
L+r/6B/rhZfVVWTwWdBy2rNMIx9xoRzHz9l77WEVzraMELLKadC3moLQGptYTaD9KFLix4D4wTXG
E3TJc5KKtQFACBKanGDArnKOlkT7T7p8hLBTBEi3Z1EdmDjOwDTE7ZAYFv9lwA80YGx2n7K2PRpN
BEcwv1dkgBoPLgvpVt4hIVX6pDMTeTc4yLA349VJrux0annoyVEUiX8ufEVSAFignjksLrRqkwLF
dwP3UaryRkletn5JeUvwmW5m/PQbNHOnsu/Rq8s7dhN4qIsTR/g37G2f0Wj0u1AQHhlS+pG4wrJW
eFfxjHK6XoaPrgK/Q9I8G4Yqve2n4XtRRXhwOsbobRs8so+51TWt2RmEAGKA4nWMscfT2b6tSLgi
J4naULLkqnl4Hnv+X+dFVHBlxf7J0m+jJLyyn9A72+UNS8GqBx+f/cxZ7gnmeeq88s2P/AtNWOXs
uTdRkb+wnJ+2oX2aD3pBPI2U1umf7LY/ARJob8O+PaULwNuccLnT2T3kNYMBvh0Y5n3QBY2gm2zP
05nfJG+WbzEXjiGo0l/e1bm5xEP3DgSvBHWDT0a34glNMlguP0f4m9bX0+jxZcrbrQPTYXRIOJuB
hrDKO2yVyyRCZ+UPyPui79NovyD2Ols8RDFVopn+MD6OtHpnE3XOVvo6gXe7WZilAYkCpapZGRBy
lc9AyZoDu96bRMxPxaold2Lmfwi5vNm5M2tSN23jk1Cr21Fll15lbkiAfK0WPqoLgYpBMFx5jkS6
Rd6q6abzIKClF2SKySTDQD7n3R7cxolRPuHieA7GxKk3qXA/FApjbucjC1d7kWX1SSaseDuEgErq
ur9TIzAbsg8WXneWjBl8aNVPP6bIuTdhipvLGs6NRhiY4unJaxPwWNj7Nl2Jh9icG7c6JMCt8xZ9
7Ngxu/Cq7IYW0FmB0whEreTR7RFZD+h7Fw+GJPhG9rMEwQzaukYs/965wVmsgdvNBLdeUtGs3qF1
ts/0c/SIM4SsxRB5nPdVDI2mTiqUKcWLIxpUXBopzkBcpoXLko4IFjlnuMIut69Nf+Hm+WNedX9Z
mgHuQmpEjC+oqIg1bYNzfEcLEhBcZ/1oHz0MUDsR0U3s3d65TOpvPpbyHolGgmRwzoZTI+2rzBBo
ZmjAahiNmGMWlgeQRsV8yGeF9JQpPEla2ZZEte+JH7zNTmG2CqfSppfrZDM96ho/dch98p2UfxoZ
QD2m3JLstWOGcS7mCVYs3whXD3fCpadn0uIoasa4YNp4nEtxkWC+WUemdEB6jBDMFYcjzRnIMYV8
RZabE1owXuaEtu4HnwA+4FHHIvARP8B23DSE40pmwHNTvjeDDzJBJ5dNNDlbpwDb15qETHiwr4BI
vR3BGA8WxntXhumRhawHCOMFWE+TBvc8SP7YbnEvRoQ3tR4umSAHlmikd9EUtFXgszETd85g3+Cg
Com1nZr+AJNFHGG4IdNzkUwUBkFaLHPWxQjTe0WOQAZcivMOyAmvrkrlvjo1hqyWb8EBqPMV69z5
IIYLVnLM525yqYLyFUhYtEksZmtj0FnbBPEYfIhdb0chsiiMBkWWAP1g+rGHHgi/QXj7XAaPxp3v
/D75Ni7zpVtA0u3SV9Urs2kVNs9KZgO8zSZDB9cJXP9A0GkmUwqEOTODEoatE6kftUCMyboIfzqb
r0e+uF6TnvSraKwO7U03jNeWK+DlNuLWTCzMTmkTNzZtjCfMeTAZte8t674YV2mTOS9ccRZVc7UJ
e/FRK/QbahrvkVE+dhDmW+ix4+JpDAJS4mo7mCo8xH6N3UEW1cEBObkZGD1AAQWByTiZJCo0FAMk
qh2hsCw68/htxl/U073cxHq8mFubrKuQFd/Uwy7x55BBdXg3zjQ4GnSYLJnpazb1F45DyKNw8N0t
7njl4xpFspZ6MBm75VCQR5TZqHCzpr/l6VtVqO6HaeC5hSU8ByQJDP7qQZitNy8P4IjDTZo3D/iY
6j2e1/POnV8sVLvIRtEot9P84IbtxZSKB1gW1wGs0q7sz3mGC27r+IAXpNmmjnzr9HBp7JSBnDWd
iTQ/meV47sEbi3zmC4NZZ/NKghmioPKq/mbIYQi0hfXDRdKJ1ZWOa53DhUz1NdN/tN2EFY8l6nlg
ay4PMc3InhQfK5doazK0v5a+cWt9ajqC+/COHqUS6OfFU0p8HWDlSp41xficBVF6pGn2vbcyDDn6
1CKJ5gJRcYGqM0PyFfsItVAOc/VQ0hJOl6WXdSNPKLv2osadQ8LOqbHr/tTOC3PiBWo4+BaC8qYm
5Qx7pjzFYzficEn6k5mkqW3Nsno2x8YmACwfz5gHnS1yIsHAO5/FSiNK9OvQU7h2uaHA1R0DGXlW
9yT14au0Dklv5ZQp4I5lgvTMMKbf0kkjmdXOCEWyk509YgbMa7R7tiQhvN/0c0fuLOoQZj3dszDF
hVslT0FTnidhgJKhEjgQ/OxV1LyNXqXIyIaJN7V65L9qKQMRxLeibA9MuGsym9epZpvfDAtkB4TW
DFDGJrlt4/TNcePl3OvlWSFx1uOkhPwtrCMg5fZop2D0iMaM6ITaVwIaDjZ8NAV0xhKVXhmaqnhR
qoMl6aKuRxzlLbLLTbYEVx5VLDJH/hH67C2yETuoXlwHAjnmZXygsUCkDOyT6nn+7g9iWxTJI6/r
uxuo6zhZ9xdt4VKVtx+6TvBfLvG9X74jPHn2RVscWlEcPGprdrDNgm0uG+HY5cUhyxZo7A6AJLKq
4j0Tn5kH0RLbOavzC1c7r05cU8PhkWMI6tv0XeJ7s6DFgquARy/HcIJ9mrGjxQZC7xsH/k0BA7/2
L+bAekljyMTUCrmDNMqRGDPKh8UUyLAAI/pMe2iKYxyJtl0yfOBuxT+8DQdKEEwXnrlZ9bkwjTfE
JHkn8ZDd+eJal2mzpfVrI4lfNcjdaV3PZ17VnPk2QkwrkIck7JZdF/vn2gYa4rjtSwlKh2UaZJbX
k0PnW2hIzeLdGvtlGqEnujU6aDa5S4FgisC0zao5mgb0mGGzPDUK8KZglMTqHY7zVYVM5RAqce0W
ONW0OmqSPKdqvC2Br2/RH18tDMkxCl3aUlwaSrDYLx+7qn0oanmvs+oJEfYJwFI4Rk530i/ePo7n
B9oIRI/r7gaLqkNlgn2+csd8n7vfwso4m75bWja7/UuaXhVd89gWEllJ3GUnrj9/tID6oap7B48K
LBzXbXyMZLvukf0TXLUNF+IpJZqevB0TNsbl2aCBBDLfWhE9sdwIAhxBk+PVR0P9PLIgMra4TQYy
P4YofzkvfH1Z1ajCBufMnvJVdB9ex+2Qn8qAyC6O0xbAiBn8/+hUg48w2Pp2cbRozfILmgsF6oLw
sg1l5stSvDb9jaxfyXDZToYMAWXhn6ipSWxQW/2KLUic8LQwV13bY5sNq7uJeQaE/6JA7RvfzyA1
z/E00BEGQ3toMJisO/ArBusPFUGZooP1Vaymh7ltHaiBa0m5zwWmtQXZFMP9K3r5BKD045FJzYnt
O1d1p7dOOJz4bfeQxFV7KAldS+WrapQ6BTqewjVP6SQUpX3d1P1yJRcQ/ZWFN2mKnz0bh6cdvJTN
Up30JvsgERPJ8DAPV2TLgtSEDumSwYx5WRKAkqRIDbUNkU6HzkFlBQ5cyJFMf3G1reqvqreODn0+
gW8F1gAvii4T9682XpOODYUOHCywml6VXg5g+s5kp1J0YYKpmkMbYCTBeueFFmG7KNz//c7z/5+x
Q/rL3KFj+3/+9/sv3Jn17/9nR1n/B71askaQvdouqrT/6ig7GoSM8ISNIM9mFqrp9f6/jjJtaI8q
Q2vUE5qJFLSYrkLJ8L/+h/D+I7AdyR+RTOTSjXb/rY6y/bmfHPiBlMpRLoZ+PtNrv/mnDKsxH5LS
8qW1CSnqzsIJ05q2wWxbkzZ7d2n7K0+Nwy0dTOtoemgZyVDJk5968P8QMPZbT5vfoCSzb+bBtMjF
J/TN5CejKNomomvoOWyG7OZKOUDfcKEEu68Ptf5T/x2qplw2yFxWhfvF8bis/no5fjrdiRG4HGzE
/y3Yt51xGwWTm+Ux3fzhOL9dV20zKtCamAaoPtzFXw+UGRQKgc05VVMo92gpJ+QSjFqPuRl8LEgF
LRMZMtTbNCWMVzoEhW+dNqqf3yUv+yWKDfkQRmUz425oa8a0pEw8ZLMzOUC+SulAXjHwqaLKoUQz
4cB+11cD6fS21WjsdKOg/9hAKPs2Ja7cV7Uqk/2EiLljiG3GD1X64I9p92JRSbOu2hLIkPDxxFAx
E5rU081wItApbYkfF+NnkYbbfoyBvLb2UntnKrHYCv7hqn2+O2CYkBMTuOWsOV32p4s20TELlWWD
F4imd7+ZokM4WNnZ1wdxPj9uvIe8jX7AXsyWPP2fjtLgR3IxB+CbIyjjxIow2cNT9bYzT8+jHkS7
dywJOjywKnzskeNcj0FBu3WtpDLH9Dt0fOizAuhBZPDa+g+Pzq9pe8p1XccmDcz2AqYWtqvXP//p
EW2BGOU5AqLtQvNhV3c+/cvasgfYe62NhSu1Hr6+IC7jqV9eCo7ICkWIEiJEJkr2Gq330xGnYpKJ
CGeQKOTzPDpFBtwEJmlxwtCoeY8yj61+yXjlWbkxKb+pHS/vbjRM6X4imoOIUK7F3nHm4VtJ7Dqt
u9hGVwxfzmcPiM8i3UI4n18DREbxER8lzFrE2SDb7LpmhvH12fzD5fN8j5MQwnO1566crZ9Opl8Q
dCIv5Bmyi8elzc0x8WCI98a7rF398fXBfn+UHM3EDwe1DKBb6E/TOOZRZb5QcTAKEeFl6C0eRUA+
X5dWKC6+PhSTwt/ukuYW+Yrhoy1c+enE4pKAMr+3QF4AzET7kNc6OQy86yQWOdZ80gQ+cqBQO2uW
ufSiHwsbu5spmgO1LcqaKhtytk2kim+lwakTwwjr9KRufBBTyHmyBjuxbYZM7mwvF6hw9ZxfmTJW
VBmICNkZKxR09O6G4aYCB4CtXUwx4zDXNdZ2DjusVGMxNBY2ntK9MZ4f6mv+0L+lfyHfJhmAtveM
VZ9VJVuZTRF1rFnGr+j7NzquanKvJNrJIW7i8fj1xXPWi/Pzus8jzjsfQICiP0PYzHpxf3oq/HDM
MGZ164hTD0cELOxqUMnp61bPQKDzDqx10ov2ra10+ML4zL/xwW7dILLJ3i2/IbOZMsrZf/2z1sfj
t1+lbf8/f5W3fq1++lVZgGuVviCPD2hMLDFuDQIGklQcY3QcJEH3sF7wMUKdCGk2IodtguxftMD3
6X9GP6qbfx3tl3TPX4Mz/15vNGuuyzfYFwo94a8/glgY7Fgy50tVVikGm7kczoUVMqLTHRsCHoCc
Tjbp4UY2Ztd5UKhyabX71m/CLUliKdtX1O9nthv0j7hSBa7hxF+29uiBJPn6gn3+fK+38eff+mlt
1CBnghCzLjsBthEJVcVWrEKgr4/ifP54swZTYsFl1p4tpB18elq6FlhXnNfR1oAEfWt8kQCEr2cS
zuLosUJDggWYjwAf2RxsFlNg0qxoOvQ3X/+O3x8PfkbgeXwH+Cl6RRb+/HjUyeRHYVOB6qtDtaUt
Mt4xD45O62lUF4WEPeWiqt3VIhIoPQO//cPxf19KqS8DZBDMeHxJftWvx1dNKMlMo1hCutQf8FM3
F5A96o03l0A27RJ22Ncn/E8H9D1KZEWVBnLx03VHecl2DT3UFqceuQxz5dOLbtAeTHi96UQWf/jy
/f44uQgpAiJtWcIxOHxavg2vdIybmGAITPho4OD2dShM/u2HlqNAdZTShzIpPpfY+aR1m4+cVdxC
P+9G5NiaxMI/FNH/eC6+9HyxCpKdzwXnGJSK4SvnojWkImllzc6yOdTXd+ifjqJcwYtlByxbwaeP
UBGy+g9eEtFIxWjvNUu4BweV/+EF/MejoJvh4wAI818imJ/WRRkVnh2MvOaq7un1SSPQa5h+uvv6
ZNb359flV/Cas3YJFj/SaD7dftudQGCuAooxG8dDJSZxqPmrRzD7/imv0/ykU69nYIIp9Osjs0n7
7dBwQ9nyETLt+zCFf321eIMFhD6KPEYdYm+bpXowWE0PaBBLHHW4eqoMKxc+txKM5HuX64cUqCWw
edSSX/+WdX3/dBWITdYBulq2nPS6fv0pcnK7hG5psl7s+jVqVmSa8Ehl95j3fH2ov1eMX4/lOawl
fIOhFDvB54fURxIH/YBAlCpZ9BNvu8aOlfagqNmfeN4WTPioDgk5LWfM3RNGiwieMMhVoWA30sdP
KTMVB4so1O/tBMUAqJZk93ooiBnId33bL84GL6z8KIcKdI0fzSHV50QHvyxF9SPkbNnXtPZgcGYA
GDl6wTp4+vo0f7+iHtWgKz1ksQFl9Xrzf3p8p7aOSWhwNaYwynbi6p2tFZn+ZBF+8Yf38fcVU2qH
ohAtmK3QKX+6eexG8slzDHOkorZ/jNVsLiwDhNW4+q+qKc0f6qjfz4xMIDRQjPfVKpL7tFPQEmLY
QqIhSO4lQJJfTyA4Da4FxKC2+sNldNYf/+vTwkkpIQP6y4HD1v3X61gMKvSyDl1bDkOVRCxVnpmg
q7Fc5+EB8o19GHOhnrB0uHc95grkNcAbM5Rip1/f0N8XCt9Z9XsIDIVwA/3phuLmSQYPQfhGDXP9
7EZjd0wm2ub07RuUT70IkXzmttyTdiX/UPf/fsnXFR2KGas6e+K/twU/PUyQxB3mlVxyU2feNl2l
Fl3SNgSbTn+64J+X3fWV9EAgS89dlYWfP4c9itysswAKF+ipnNKzdqFyo3/zEfI4F8QA3FcAi7Tj
P618jvJrp+nRdIGEyq6iJSW7Zoqti0HI6g+H+nuv9/MDxN1ybPprPED0t9xgvbY/XbsU0AdZHzZi
gqWA62IpHR5hXNHtGuYJ5R3IVSlOFtIkl1OVMefnVpbWvEMC6UiYOoFOtnnRYG5mgKTh0rdlcwHq
BxBJPE6DumXBkcRYyVzaeOGt5HkAFYeGp13G6ibC6V8TJ1SAWP76efz9RnFePttcXn4blO3n8/K8
OlqlLlurY/gGqAvaw4Bj7+uj/NPlI48FqStSWLEuL79evhk7uN8D3wKoOzTfyH1MiScPRis9aDty
v9UMwpoNuOr+3jANZyUfLJYCbofzkkV5OGwHz1s2o04oEhjS7wG5QRnAPRIQsRpHrOCpdvLtSFdi
ul5Cu4VKVCGwg2ZLPuZGI8au/7Be/lba80hISXPAp+Xu8En5dE54zczSpCTkmDx9cFBEvnZj71PS
JurMQ/6DdF66d1NdJA9hPDQXvluL66+v6+93jxeNF4zjC7Zcfy97Pz2VfZGrAUNYjS9pyBlKhTRP
EhwO//ZRKATXqsZDRiw+r1lkWaQp9i2zJTQRhaELuZ/oaXv/9VF+W6Pp1iroB9SDgkJN25+uZ7YM
FO1rzDRlxPjcqEKTs6hyxKshLoxEgD1yO1QtOtHxW1jQVyhtl+mmRnlT/+GB/W2X73FbleZroeio
e9Q0vz6wsVNoAqjwiQj3Lgs3jPKIrsdiu53/dKTPO0SPnTKt94AAA8njKT59mupZoTa2cmK6dSX7
i8WTZNz7Ja77bdfGClpUPETltgU9N+9rt/fJc+4L5d7YfeQ+fH0P1kv8yyrn83KyP1S8pzS+PjcM
/YyVh6jDYptUlTynkR7u/WFZg6Haxv7Dif/27FLN+OyWeIs036TPHQuboXGdJl2+NSZMLnwqDEyR
8Hy+PiP385efXYzgS6Tw0zBgg0/4642cKZgrhfx/G2SM61AY6VVW137IAosiXUR9WU7g9JYWihPC
T/8S4xaSs8IF/YvrerIO/jREK4GxOs62YbK/MPE6j0sdn+W56o6IvOS9B+VyTzKG/4dX7x9uiECk
zweU146F+lOVlFRuFxCJVQL/mj0679i2RFjFADC7P3U7f3/kaQnSLWYTQ6Fkq8810tTFYTgrFz/A
GDIPDCXznG3UwRtefWz9XzCEugnov8T/n+BPO2e449AEpKQMtmgnkicpg1XSVFv9HyoXYCCfn0yB
W4FGCmo4SlOWh19vY1/0+HzRUHLLSFvfu+EiaV/qHLDulKMf3rPRCG6xEaQt0XDB+C01JTLtLAPn
DMfLfjR95T57pZ/eF9nc7iddIprDoZ7vCttLXrEvBMQdREmwRtbMzqWbx1i/Kb2RLE6esB48en7R
TYW1DkxyYaHlb9BaB2dynOSlyzX9nqGS+KsQLU64AatAvtfYhZ/MTNjvBjOrOu0co98pswP0FoM3
Yf4PllVnVlRCbMnqA0aBkypg/KKL9I1dQXAWMqWZCYaroAPCzrZ+JG6DSIoYbvBXdrSQn9LICtd0
MpkXclmjBShGXH5vZDcOdMWdeITpm9N2dxFDAIZpZlxMSueGaCbk/7uUrqF/KOWMxREGce7tTAUa
jSesMOPFNNh5gq52lt8xkAP5Z/ZeQo21wMi0kW8PZzoCL7AZ3PWlSQdM70cXHEuKOF5j5ZiGDJMC
iPASLhtd70cS+zB2Jmla3/VwDx/DPkJ2tjAoJCsJ6CzAW/qkVxkOjifBV6beDUEHCcAdzfcgntOL
KuxiNFB2D3zFL5byHVjZmv87F/Mp0k/m4UCI/G7Xpk17rgWEjm1TVdaPxlhw7dukXJ4sgrAJwxoi
yz3tpMsYJitzsGoYXILkYAaCYDZEdKm3Si7TLTnd+lYCTRuJ9Xbcgf50378aKFULdoB0ibbCtPlr
IUsYrmm6LJdlVnTLcehtc0XPqXyJxSK++2W1ZnLNrYPComd4ePBo19ES8K0KupoBfHigB5d+jAUB
4kbBWL6s2kJPuwm/R08PnTRQ0JZFcUXuXgcKpRTUGMAq+vaq70Uxw3nIIzCw7FPLnVQG700Ksgix
YwgGZWP7Cxl6iMFiMHFCI4hAN6N+wPaCXukhAyFuoMSvsQkxVPvb0KP/f52XY4pjpuwwyA1B6fub
abYwP8umzcx2ZkCxw8zidJtunC1GfkHo6y1qk7LduZzwFVpdonxYT5Y9+hIDbkPaKBpw8KA890j3
O7cq7TUHq8jUdJiK0DzUiTUwPypSpGFtjdxrXBa022HeovZQUxMfCLci+y1kf3URLmn8OID0a5/6
wcYtJAVC073OPCAKTZHhRRRxAG8sV6TigvhOtQ8pxqErMky+bs9lOtaP2HQIFHEGV6xAfLe+RTq3
ukPmZP4xDQERvnXn5kdVjsNDVpQtubU11To/pyi/GSTO0cZMqruAAQHd0RkK6xQrv8JLGvcvUx0I
KFhUakS3S0BzG98xEu7rorOHHlOQd54B/nA3iI6hBI+1jo95hhCeZEkP2D/Gmpmw9A7ezM6Z+ulb
JWMIgaoe5huyWyAmgGvvvbO6zjGV+4E/kuSXhby1uQsrGEslyq5syMq7hNtTnY41HtIdr7EW57rU
CoChDV2P0A6PmOEGIdzRWBmEkGLK6/HQ+RPRjTHa83bHqKO6nMGwWttpTDW0YcJlHLyrIXgWJ3IU
SVv1OG9JNY0/pqhZ8Jpgszkw9VBnPkkJF66gsbidrbB+Y3ukOCotXNLNh1rvGDpRTGdB4b5HseeR
UVvDMcCBhkyA9XNdZVMUdFYkiTVppiEN9lHkAO+2ojINDz3o4PrUjg31vgmGAsGNjYTNGATHO0ky
r7eBFJmJLev4mIGZMCilBz2BOIX0mKPIi9n/7TykQqi7dUvABgEygkl33XcfCfsUAh7dkUFEV/jG
PpmazG72jZDlnVqa+UeOjzw/KJguL56Z0ff2keALMnaJTrfd5OoCOEzW7VZX50BCCZ46lkcFCsMs
yZBB/if5j+DhNn7rVR6MF1Lz1Tsxgd3BtTIj85wEWTUUPvbUWPl7u9pl9hCYTUxi1F9L5Y/3k2ux
F3WhVWjc7wzJHHzIkRUch7Rv7hc7lSDoncsq4YrO4XCuWkSBTWHzniZ7kIJvVo3/XFrHMmKqlYbQ
anjdUQtNGIKsTZH1D2WiIAiUD8HAM8OIFBfAddLU33IvO2WPuR+z7IedEOJqe6dysLd0Y65xBF6F
vs3kVEMQdWAC8iwHEpiXP2liAvz7tCmeO77uXt2dz06Y3lcpaLZ5OJd+/pYqZyPb6nJxvmF9ySI8
ceKd5M9N4ahTtGjHbk4OuYn3SSEOfF7VQSVBtku81uGqQglYBPvB2HAacOdD8R2jWQzzlg43uuVr
1KA2OEYn7u8wTfkxtnQ9nTCTOKfjyt8V5FPaEmgP6TzFTRSqaWc3zTFR3UM/AHTBgetAUbwMSZaQ
aG4TrdStR9IJesyFMyzuTds+U3A8dFZGH9LE43c01e2JPasjIezfyR7fN52+jFx5zv2/A4T6KOHL
SZRxm8y4d0Ed3aa+OpXZI75nIYt217MtxPOSYEESwkBa+CtrInJ9A3xmGrNOZB6dOrr0Yhd7xDQu
R7HEQEdFAL11vC865zgOFiEZnjptbfEYogd3MDA1hhS3fKiP5egeQoZRZHiXeKfFy2S5N05Mpy5m
imNX9r2LVVoT1L6tA0mf29opThOLxuIeTRXfoxgGuheInTVEyN/jZd9YecTPuPELGDvO+Ax2RcAA
j6z0PTX5RxeOBYjCkrecpMw02+sxpigqrmGR9EQ8Oadp5IjvQcKNn+ZyK6xxOnPikvAQwmsWfIak
dhB/8FHxAO2bfPlIxPcRmcAoEatH8hnOCh4/sgwX3z6JetncYYIJBtpffgUx0EWqG1QfnpOdzNNw
Bb/uKFcjlohSDAmm/UbQRQVYJrvJk/akQmKr0sje2kv/xot/XWGtOa3mstr3iiWuqaa7vh3hbgjz
nvUZEAQygjND/ijiyM2kWqTq5eVoavsCXbo68GEOniHhKQ+ag7wUyjsJ5u7EDidxEtRYWiCFFiq4
aKQHmriCiJ8L68pPM1BOPkrhCiRNSDEDDy37AKAbozRtf2DlexgDByhTDDW/ex0GfzUy1bWyT8do
YmcrjQcKoyTE8CIr5PTkl8L67qJV+Sgwv8HtcRQmJJsaJALlmCJQyPEP3WpApeSNsy2nkKTK0rh1
5uZu0jED7s7EhCfa9jxjFulcp9v6mFzJuexyCNB4hZaXdCmcEBLZnOBXCpGkblvUt1cqaHxnPzf0
v3Kxfls6NwKja1O8A/VzJ0WOclqNuFvbyj4akmiYbNSWs/M6J4E/KRNY9bwWpOr6hHRzG3y+03LW
5bVM05hvpV0BQzKiQxEbFANwUGQ9WHEcgExMAABpgW92RUNrP3Cq04bUP/BGk8Go2jTVDCmESR//
gAn6VzYO5W3jxtOd549DeiBNc8BcUKbtyH4tq6korbrSu6YNgo+4T+PvxhsABcKUam4VVFqm8LA4
k20bZCMLmLHArNZiJiWB/tEZrJwGaAaJDvmuJj2430Isg7RHVmFI/FZI2vO2y/OQDU/bNJh4+bzc
ETgBtEDF0IbJH4WwmYxYbPFC1WS+EjywARaD5tjxJgoROTnte93BbMSFG/h3WjZEoCG38DGG8EHB
tTNXWU6vunbIsxzrlZSDGuqvOfQEsUPuynmPmnxAVGxpQGtiFDLlQzJS5KIOBSoS0xwbzhvSvMVm
dgZxJ3IkJ1cNS2y2tanS1J4BVnSuSeB2dsIe8UCRoib/SsvGYpbT9NGzN9A82UiVx2+Otpx6T5+i
fbKMg1tt7siXRYc1M6gM+4bTXjoQoJ3bpZcqwN++Bjxb8IEiHLvbKo1I7hrlGDXbmoQfHh5ddzcL
484VFI3RKU8RaO1oKoRPqunKN2klAEotdBOvbhhr/mdv19cebfRLzBxOcVoMS0FhxtZfbpNmHQFi
mdfpgXJziM6qptB43ftI9zyiDXYvWwv7QmllCNZMqbe3ka+Tu2x0inOryatnldXDFY0ATn6GtVjs
mFhaa0sYuh5YEmJIkHVYq2hvYYglKyzQ2z4L3e8s39gTQmfh2x70AwVctAQFeS8ZsC7wjHV0mhZD
8hJNpYB1mCaKqMwCb+hmckX/ZmNuvAEFJXi1IfxtfDctnsYsJwUozdc5MIIfiV4DNytTlKgMXlKN
WmgDCASHeF7W42lHGO9aI9nFeWL8hMTX3vOdnUzD5NaKOuzF4JOY8CZ+n14DTcIEuRDELsDMt8MV
BgJMMbhoxzd2GgnqFbEYg78wqy4d1cTNRhRW/FbzH7z4IMMKvsJ4Y3aN1gEk0qIKqCI6cnEVV9vc
OGFevi46Zyw49Jb7WvlhdUnrqyfcDd8QMn5KbxII2v42gdDG3kAVTnAsOi/N2TEF9CHbPqmxmKYu
0vVgZDN2MHj81Kb17FwcrApQFiS6gUxr/KZSnkQ1csobBp6AkBRhLu+0Q4g5CeC43fsEPN3wzw7f
cgf+wYZ4rfk+1hS6O8N+Ekh415i/nKYM7xoCcL+Z1nci/MEpGMmU3gHboNqLccSyGx0u09HEJ21b
xnAUQb4By648alo/zJhNaJ3Q+ZjnbiaIOPHAOKfuQmQqcZbJsxPF+XOo3YVVQ0382VxnLXMvv7hu
rRxGo/FySkqrjupmU9IxUJuaGBJ4kaYg+Aa4QrYnAdmFF23YuW9FNPG+DBQCp0HEtobNRA3nhHG+
/YFYPoHsJu32uaqxetLhzCHm+H4fn5HzTGoPMCcT7FTKAwCPb5qICnAL/1goeZ4S77sd2gFb04iu
+Nxmn8qgRwaXud2DnmUz278nE0HBhANJmQOEpHbsbEuSogwqBwsgK2mNDcH9+29n7V05lmwCgnIM
qW0xej1R0xJZ5nghdVaEhYjPSizjm3kuo4fI9rvHqqtjPmFRMXqAg2eeiSY1fLo18Ar8hwBD4Vkj
pcd85kz6lGcuA/9STBDFW2RiHc46jBFHWQX2mWMQJO2mTsFUTH0Mlbtx0dFNrAiF3rrpbDFKMtmM
2XaQ7EY6XUG5XDzLnCOQWG18BduRXR0P6tL2UitCJtmob03pg+NBomq/zqxn7gEUH1x7v11+uPNQ
v4VR6HWny9SoSzP6MXaYMQpv5zjR7jGfW3NvUUs027xLeMTCFqTcLvVUBAJtTNdGl7DTH07eOzwM
Mdb/3QiA29oIFEpvOQvX/+XsvHYbR7Yo+kUEWGQxvUqUZDmnttv9QnRwM+fMr7+LfhpRgoS+mMFg
gAlFkRVO7bMDvq8JpyK2v6UTurUPmYqKom12etJhE9ZjdVpvbLPF59BsU/zxPcXEzTL3cDsEEJDq
dePUiGwayxPVrrTiCa8E6T80AlAMuyKP8ibwO+yysHIhOg4Thr5189b3H42qYDKYNSgkWZqhjj3g
OLUkWCnTlK+CSiTf06Y1/giVQ4bzqcXPuNUL7jkKTYNBI0drJydcgCMs+/CiGzq8JhJlKq8ww4p/
0xMwsQ2MG7Q4JnMqpiomQhhpy0+7j8u7znfAmlJ8hmfigFTSq/PA9Ql4HDqfMUOyku7ATNv/b8NR
iyZB7FSIVrnOCCtGNHnH9fgCi+IIVZ3tZKBIw21lDFpJh4N0UdjkZc791PYMrqdQNNHpNh8SW9UL
fW9x3ALE8RUmsoqky7BpeSwQXMmu30DVSNdmk6V/gkg4NxghOlxISsWQSFPinhCdZKjIy8xi9U/l
+LK+RV49x8EBggRrA2uTcZMqhf2OrDhDmexhOAHMY3ERt9Uc790iRYvMvUNyMfWqBCeKMEi/RGGy
2OS2rE0yKCEkEeVSxh96QHIsyQAQOu9iTE6ITsUHl8Iem8NhbWE4zBjY9lpuGxf4T8bl0NwFjVXK
TRf31otopwav5rYjxkcfM0294X3Pm6LOjoS7nkphSkqw/9a2jvZ36j2ucVEg3+uwJHzdQ3P6tyaE
5xeOhVF7ReNnGNwshtu/xprO/ES9gPG1o9ukis1BvM57VzU5nXutIR7PUXNDc4es9bDxNPvwo8Ed
5YMTt3nEqLgdXcuQyXuATIhYlDzC5cWhzNS2eU3j8nbSR0pJwvEg7IoECMv1MqPBRDaRyfcKbxWI
NZVhIcGa2Oaveu40KAC5IyM6njpyeAqbMD+ryp99fAfEphDZ9EETVoXA0UwE8KljTxWuWTU9pHro
cGjx2MGIUAR1RTBVlO94JPXfEBcReIbCCKRr1mmXrgWK3q16emEYiA+KTQSEUid8jizE8j/JaAGj
oCfkFUITErGuDbKXmBqMWpPC+JZfF2FT2VF7NmPaKZu6leFfpU3LPbSvivrcH4LXyNcnsYp7278J
MWtHxFYB4lWe5JrfOCVeoW1mJb9EbU3rsDG6C322r+bWQaMNvttMzTc1iajDthZdqaDJw5DHJzPR
GijgfVwneV4rrl4kjYEPq6+7h8oe6ufCIg2G69zwrRhMvd9VhUPosAa1BFsEBdoXmKvaX9WdXRS7
LinUv2U3VXceym28s5MJ1Tn2nukPr+p6rsgJjsK4ZxtGvDa12Psuo7CL3LHwints+TLCCen53YWB
aN65+Psh6ewjSV8+cZZ3U1zh0x/iUkxnsu+SD2LLSWQyBnVICe8ru19poU+/k3wIAZ6YiLQIOqxF
Eh+smf2cmuv8FnncgedkhcGOson8bF23tMPty6mwq60RO2JEGJGSJ0bmBr1j3wSRcoC859LXQYk/
sgXYIGUtIQGecqPFPcyKC89yvJXSv0apA7WHnjwv/fBZNEKAKgBt3FhIJ70b4a5R7dbyPRvA27UA
eWoROfqDTgocH13LNohjX7GzAg0FA7gupWO4Y10DaEn83M8/3Oln47HQxJioDBZb75DldpZy6V+P
BrJPLSPJ3si958yOhs35kcQ8cQ8mNp9kbtDBhIVVAvv58DXAGou0ysOUBjuqJkFWXll/nZxYBET7
0drBwcQ15ktsHpnN1uSUWDdt7H9MArUtoZy2seqsRiXWlBzSdoiza7tRQfUjoNW80rxvFx53/uXL
x0USB9lAR8qDiOfwcQdIOwnbH4HbMiAMOiqxMbGcGuV2re3bMKi2HBH4HVBUXZs8/IYLU3uNleq7
k/oOEV1K8wwQ7wPf6OqdXfsEEE5zA4csbagpA6Y85594PpGPHhiJjW6pUALlkq9T9Inomx6NVTHl
1jYPfR8jJAzgR838nbckpZ0f7piUAcNyXlrGzKLGl27xPVtVAbwSQ45BjkfeJaXoJpey3PSpUe0h
rhnbsp3U597CPhNoOHd1q6sw2RnTf2SQQ1Gi/8tuiakejIHlHFbFmA4WvZm1IdrmU4lqnLvsPtua
YMr7dMjMC4yv+csvXjQca3hygJv8ermov4jGMYJqBC1w2ip7MGWdfU/NzrrtZRz9cxUmUUzCroEA
I/moiya/jWd+C1kVxAz/W7kKNYIaYo+SBy2y41wgRBzXlcA3Bi/StBEA8VEPZ3wMoKb6JQtUteh/
hIODsMqIpwvVqzixsNCVGlwEKPioYBds0px0FjvSZ5+AoUGxjq2W925DwmSDJqEIGWOsi3atSXOo
HwndDIneNKBLEfGhwL7FBEzhxlN05b020RtaVSjAHrTRNl+7OkJ7Y3rp1BKWFPtvU6fiDnF+2p/4
+Gzlgh4F355Ps/j4ShGGQHXkhgkLSwxtGBRCZkV264nWfDs/1PGCNji+iN3DGdZ20M4cfo8cnRI5
aRgbT1U/XbWJWuxBRtJ9qdOEb0NE2/8+3rwxo1tFD3w0XuTlXtGCeKxbb8QnrPUxf4ICgE1Faj+E
E5K9C4fP8UwwYHVR6XAqwmRZ8vy7RvSWqOEUJWgWuPNq3kuk2eWdVQlrF9cxMHLrNy+jsOc05SxO
LnBHTrxgqB8O3BP6mBhuLlZX4WWFpFBPSWjMjHu9Jwk108rq2tdVegc61ef5F3xEyGcxU9Hhrk+x
y0+2FgP2eFgHtmRPFq7yPF0Z35NtuvOuMBG+7ht6jRfe74mlxnj8NqSKtgGJc7Gi8yjrMHPKirX7
Y//8+bzf71ab9VW/cp/61YWd6utCeLgrHoy1FD2T/xF66jzWzfZ1y0C73e7vy83ThWGO96jDURab
B92lVK06Rhnq9yGnb+BcKte+6pDjH4JiHm4VLOxlAZ73ql9zgSjW5ab+NtyW6/GxuzJuku2whgex
rt1hB01iT4cad+dHZet8nJ8lxzvMTBudDWBNFZGuvrgAgChUaKSLcC3Bz7AQ6uy9o4XFtmom+5/f
JkM5SNCYIJDhzMX8KLBXgr7XkPuCfeJ7zSHP6e38K5+fU0WdacQ2YjeETUsZilamNBfHKmTDD5PX
0s+M51FGNOLi4BKb+ETdj84F3xlG0SQc3Hn+/If2Opn9IEcDkzXuIu31AM1jXXWg8DgGMRgm8P6P
JMX4MELwsI0yjZyoUCvMu3//hPj7WhqstFnsuHyKQmGX5UOCE4sGk8y238soe3OqQL1QixyvB0oR
NGyIgxG9cCgd/l5UUVFu4vCzjjDA28PCnRDu4SVz/vecqN1NwZzEygCBK4TwxTAwVGyts2qsrRRk
Puu60/KnPsRIhxYbaNlKHzAG1dqxesuJUhIwKlP1IyxU+yVNi+Al8KV2S6+CBHXwiRqeTTLTKgx6
Qs2qwPx96+dE3lx46hMLCZiQSw3qezSOy3dTkwA6wqLB8zExDCwMeyJ5gmbEFb1sL+y088Z9uGdg
9cArovM3MzKXH7xVHfJL6IvQae7SW8/MrKdA7+oNN/zoW0W4nU63fqgvTLMTH1+YGigPU96a5SuH
H1/ggRbB14qwAYJS4ZRWgUyzSC9MsVNrSkPagKKCnYLjZDGbQwHVi0ZcTO62jLQ1veFoWPsYvFFm
pSa2NSOunBrGvrOjpsgnKMlYRHaEBo1qfeFFn/immu6gcdRYXxqn9+FPVsK4Fl/UZ+rfCMtSUFCo
luPO1qrAPT/pT7xdDTEOX5SNmD8Wc74ctNBJw4DMOWOoN/D7iN/ska+fH+XEccMnnCUWGlQRdvxF
lec7XQqlE05Xiu+XWytYheFzSJMrhVi0B4wPN81EUOugfPkuEw7UIRNCj0EKJU1C6yayyUlt4Kqv
C4hUpI/UvnqLCh9+ZOUU+FRXzTUwfeGWSl66aUez5PxPOPFNuCJzhIDmUWosFY46rNJBBCJca7Vl
bbMKdiEsqBv6ev/OiIcUroGKccPlvsdCO/z8yHY7A5SV7V2fuKhMHSQsZMvFg8J99ynqpL/XpqB6
iqvJ3MPfp6OoZM79+d+rnZgZUNMt05q3d4kx1uFTFOYAu8YG9cU8yqxXIxzaOyMfJeCXV+PhZgd/
qyHQ4aDF6k7R+vCJjUj+GewBi0KmAH8pHbfGttJll5H7akIPKqCZlDuv0zn04X8MHUoimshkl4Wb
Tp25fGkZvQ0jDnvnf86JvetLXIDcFhEOniCHv6bJoE3pA7bDSqWH3+ho2C9hDJMn5Y5L+zJWXg36
rxdK7xNzBk2siqqQMBr+XMz6JCf1lhAecv1kB0WjFdFt3RIfX9qBemEo7WujX+zOJqAIWOoXUX4J
BtJkjoM0iPBlwKwVSFx0OLMFASgy0XBQywh3p3deI0nEJCGNY7LgJmej+lhCZ0HtQAWYnS9b5bZq
ibHntpASmJOJKXqdcM7EIAzDRHWFrWDcbsqoT+odUmAh1yrmf8a1jxnNTw0X5p+FOem/csC4FGvO
UbvvoLQTJpQZJvJj4oMgTFV1io2IyEmHlFrv/yzDKSNLIrFJJraIqntsAkG6qWid5B6Nq/ldiTPr
Jo8LjOsRNw33cTmBenZ2Ke7hg/uNKzsNt1urKYvP1mzzfDWkWg6jerRqvPVwUU2I04vM17YxxHvn
D8V3HQiXsKHCKsZnBWtRb6ux7+NonxKt1uCWa8962OjacYKRHgmt3WeisE3iPx1F92Dr9FW3AvtR
jIecUHrWgWwwCe4MH0oJ+PY1fTi6raU/lncB9+nShXNTeO442jWrye57LNoDlaeeL502gLGuWNvU
S+HxOSksqTXafmh6ppMBXJJDGZFYA82b2B6Ilg820Vn+ijRpTB2dGsc8TPdifduIUP2gZ9T3aL78
6K3C3JA0sEJWP808xQyj4ojDWD5RZnfAJON/6mTDpLlUeRURcoVNXN5U4ZmWellTrFul0cKtkkja
CUyuAqKzLLphbQ/N1OxwUIBDCJmdgDeBnOWai7s3ukVhd99we4FXpQD64G8+RMU+MTwrvU2HDm+s
lAYw+WKy/kNjhsjqkvBLnOEbM7jrWuxyN7D327ukdEZtV8PCgu02qPCfYZ/anwHtLT4tP+3WKlSy
cGTS4smdDXFtwFHsSGqjY4RR/9ArhDM1shjkZlRj+w9I1xBfV9pY4dOHhM412mJUXGjj+MXiXj19
EKvTDviId33ohmCjsAQyimwchYn4XWkD1EzYBDYAbm84/oPajDrMSunpGTLGaoRVo9Gu3OSqmfzG
wAVwocxjcmOnfn7VuSm6ZqeEfpNuRKwNxXZC/Fhu2qIuSxwF88yGdI03LYEEJKBvU7OXBZ2YvDOv
JloX9MhqUehM/ACyFvOQJKcxIK1x6hTZuKUajz+w4vO6a0PDGHmtxGaC52xQiAZFk5E4yNHFkKyU
MpN09kheM9Zl4JMVM3ZDZV51cDOKe7uF7r6jC27Gd1o9Wt/gIVsaasPQyvZT0UHk9Vm84yaq7P7F
t3KcIzmjpLUKq7C/zWHPv3ccVz8DJc6rTcwRCeEqRSTuQv0sBBFbZqs/OG2Mh1c4aGR2lqH/J2zU
7LXPY+4tVi2M/FbWPdtkpbbMlciktbaxO9lC164875ccx+attmLNhprSW58l5Rkdoa7GdzODhXrb
izBXPzqb9sNKqMDbaAc85wPKogdzp4seDYg03xRq+ucg7YEo1B4Ta3ijBA4o9pxBiRGsuI5ajNU3
sWr6f0bk9d/gP+Rv54+mE4CJRbcAIS/UJxWrpUW5B4dJGm3dJ4R6VJH6jLYoLbAUFLhUAzF6csUr
DB57mtgfSqCb10qHznnnSL/cFMhBIpjWU3jh+P863g+PExAcZI8Y2dEfAAU8PDDzwG6rAfssuBq1
/DbS24HCYajGjUmQHTtPKuXvvk2wp04gW6lIpATzSwt7SCKtqqc/jUAdv0sTI3QyDoLs5/mXdqI6
QTNPK52mOjfDJX5hyCYw0gn8ABGDjT1yQHaAosZ/zo9yfIAjmps/js7hjbngogYKRx+K38AoClbR
WnnrY4ZVRtvzg5zoMRyOsnzVIL+zjXu4Tle/nlf7j/Xm6enCEJd+yKISqQqrrfx5CA7YVeJ+Qo7b
fJL2sHqJt6GLROpCufVlNLiYPgdvbq7H/gNRmLaPr0HDgDhZbSa3cYt1cqfvsaJxdTfblnfOvdgp
z/HVcBVs8bzaOrt8iyvxJt8aG9RLKxJVrnDBdtULE/t44uAkIUFrZpdGVt2iEBSN3tBaoMAp0BVu
rLJjE9YJ+Tv/wk+8b9hMqN6Yog4QzeKTRqRzJgHRJEAJSbU3GpJBzWhIH+siz93zQx3jy3gxwknk
eg2+JZZwq5+kMMHGKlmTXY5Dh19BwCg6M//V40d7PY1KkK5g6ZivpVL5ZP2Q47g5/wQnqC0WjXxH
0qNVoXYspaz08EdLdNDnBXFm2S08EziYdT2LxbIRRjRM2dCAp217VrUqx7r5YwyenWzMhmvNqh1y
ma4Q6lWPXVeT40d7eMyoGJsC4biYpl2ixXqKEtlApGaVpVLuFCeI96bt2WRqFyXqkbIti/rCmxXH
l4bZYMVGDgqyzCVogRxm0+S3aj2gCI1j9KZxE+t3mVd3f6qx6h+pqkkt6VLNabmej8XvrGbCY2lY
yBclGMwGKpc+bPTesZW9IeL2OTDB4FeE5JjxOkMLIS98iBMgBg56QKog73TgbWexX4E1lu3g0NxI
5tax1jjTi62TcUHkePxSdy0hh2BIv6d4Cn8Ec1IOiQdaemk/m5fQYu1zd6WtQ7gXuNTSpaktcOTx
cZQBSiE7+wYFUFnCItG934lO7bWOnWT8MTR5TMJiMQ39Js2L8mc9ZfGv8xPzBKLHbQgDGcklDHLC
0o6RBF4oIrCs1kbVYARaNPlKw5iVjB5JxrZeWHthl+omzsLxEQP54RuOO4hwRKw8WJnnuT2uAxs6
V+MVF6l46wjP3NHPk3cNTcoLs23egpdvjeMW+GneNMAfD3dMoUCD63EmW3exLmcLjGYPRQZ15Tgl
r1JLLgEa81xYjEfDn36U4BSl/b8Yr2tRNqbekKxNEKB7mLnFVdmMw9WFT3BiMnD3tW3gVNwWreW1
dCr91In8MFmHYQK24w01/B3hG+Q4lINCqJJkOWRzUCGSsUTtstmVPmw+/Ek1L2z9x2/YnilHgHuC
prZYMvAmKxlGOoIkjbRO+z0UuT075I9vxmTo17Axw28Xfvv8Cg9fMRdg2vVfzAo4IYtDEPFEjjk/
gLJFCMpnUmPrwHEhnsqIq3UZJPLOMPUSGYDsSEA2or1nk2VDMGeIUdyopI8TgdxXuB6BqEyedQFY
1eY20vLxICUCaUkKPW3Zd3faDHqZDihH4n3tbbl4z7qRWFH/RnY/BZu0cszfpl5kxCtAWnk0kE78
NeO0IhnPQPXk9oRz3mEBFaPm9HRsSyYYq+z8+SwDo1VS/vSTyn+S02j9qnpTHTYtouP/ox0C35p9
i88K3MI+fbhyxqhyND8Aw6zjHB6q7gVKdzfm/tBw5Fj6X1JC6ue67f23CtgWpnulaHfOWJHKcv6D
n/je2DmhlaWIh1uwRDlrTa0xyNLA/6EVXDUIq9BbNfKGXsUlStOJs8mmlwXaA3FiPnO1wx+t6eGI
ysTjR0+RuVUHm+jeyUxeDCsOXwRuM+TdQqHfcRq0q9gW9UOiG/5NLcziyiKZdA9DIruPnYYU1rDM
9+S9TleCi1d8ATidby+LWTaTeHF15Uxgg1sUXE0AJbTBFXM96r36oQ91g2RQbW7yCIctq1YC9LNd
sXewmLlkT3xiwVMTATvbuobHyPI4bFVPryY9J3aWTLKRjTwIm20M6YmEVjsn1gERAqzvaGrgO1ql
86uLuv6bQ+Q2mTowpm00a1l9q9R2G7hwGDBkTboRsqvpV0K/sP8f78f4Q3Ln0umaUZku92Or7qaJ
VOpkrcd2cguA4bumqMb/42sAgLL9GYaYOVSH08YpuZ63Hdoj28+7lzi1UNjSdvszULA8NnU5cBH2
6maVZYZzwaznhMEGpxotUnxIMA7n8Dkc24TUnijsGWvPwcLNwBTopjajbt2gtfoLoQoTZCf3hi2i
4/EhcaAAkeuul9+QKZi7MK29J2Jtq0vI8KnHMjBLp7yzZnB/SdnzNaeilZkna2CSSLopEp+XfAJa
sWJHh7qoRb9kZSDsSTX24SoTr22sxsPGSG1r75VpgeTOry/x30/sJYZg1dAr4fhgAR2+LGWAUUaI
OoYfUTu9pGAvGxBCYx/bFMv/vG1xF8LpcuZvOuJrq/nvXW0UOoYnXk2HDb+JCncGVyMe/S7vzUtF
x5fv6OFuAKvf/gIUvlr/i20rIIHUKwPZrIcikSQ+szo3Dn3XaB8Q5XeP5rvFETMoEGcpOYFkbmV6
yERrR3+PowpsJk+n4LWENiVWodoGj0Qf+dDZLf6hK4m4QOEXTeW1ZUXj+0RozI0Tl4mysZxUte7t
rtHNbUP/6QckPvGOl0r9nqDBfBOK+K05hfqGqk79UZn1NT3QZDt1JdFQGB2H2JQQtbWemlJyrDRJ
6e/yyKrVrUdl+1Q7tWrAnlehbjcl0x/8NHImNxIpRgpKojiY2xYdvctOSYNuNRBJ8Sl6NJC7OHEG
sQ1oxBH8SdOVANksJXsiV/EFB8bP4mndJRqJRQ6kv7fQq7QS7ZI/x71DCyN8pR8HmHLd9G6MA14H
IkWGxX8eKhzFjUkbGIXh8DfR2E52Ev7PiHrUTF513zQvXUaPb0wsIc7i2dQUgtUXLPCfqYSmHQmW
BAflfXp7MCzpSkKAtkVsaFdYlPjIFof6wp52gpVD8hB0UHYWVgpuYIdrJe6HdqorKilnRDFnQLe/
NdDCP06RagLJDpbp1og1ET0o3RUdfdul3dvuEj3VnirVmbaQ9OXeR4fFTU4tndsMtO5C8XkC5fvi
AVqYZhO3JJZWlrrhpUoLgr625vglS3WInuyiaJNhGfwj9K3uHv6fjbyDdoNORfqQUwLeJp057ERA
1vWFl6YfH47EXkiSKvBPg1qx/FRx0ataGMxaCyPKhQuE1mWuzdL7bPsCpVJZSqPZBIOqP4/Ib15H
Ow+1jS0yQQcQHcLPuMwxxEGNH5roVkJcUZwij16D0CNumCQZ5Lkq4sA7XXR4qHhFpSiuMLDPQN/M
vZPupt4brizb0LlCi2+ZaxSnRBvboaP/CaceBecUkxRcjab3u26Iv9n6jjk+SKmV11kYBJLLnK58
Ng3M8gulw4l5TDMN4iMXFqy5li1YVCM+Vi4lYXqT0rplrjd/wGCFW6UEzUX01mhiBdGFCuBoy7fA
gOGdUNXxRbg/H05jrw4hYGMxsq4SJd17VlRfI8CjeimsS5XqcfnIADQK5+4kN0B2/cVYekkbhc1l
bWd4RG28QSn/0KgQr6EXRD8U2VI/Gj6283i29S9Ikwi0AGo17gJyKv9UmvhrVq26Io5oejVKa/wM
zLp5oiMwvZ8/nI6BaNBdyiJAjbm4h8V4+KQU/Y1VF2Wx1hUoUbvJb8qe+AxCPbZSlGN4JyIcztyC
9EDMCqo5LdTThp6uJlUbMB+ejtM6B9IfV20UtvlD2hX6pavU0XyxuN1xvVXFTDTjGD18SMKVC76e
jpp5lPHPAXjq72ikiKCcVPPeLWPCl9cazPG3X0TRWzepeBmh0abCwWDIlmtfoMdbk3VfojsSferv
1a6A7E2SaVfuMaSkcnfmO5l0mu4BTj5ORFRoFtIUWaDPwkEm7lx8joiP0GRC18hWIHnuHD2f5IVp
eoxXW+CNUPb49HwOyDKHP1ZaTWb18YD6vkvlvosE3RadDFw7sDpAFhLLkMp0m1bg6hW0dA8cRLKb
iniH/+tJoISxQGcIfUn9bDg/9STjuAna9MOmAbrSjHoXaMq1H/pip3XDFiLP3hqz3i2nlF5acmmn
+Nq3Dyqa+W1Q1JL9A6+YBvzh2/DYrvLamp9Bq/v7HnY5TdJWMz9MX5J9WPupWEMZoX6wVNpMPhYw
vSrIY4Hp8DhTSshRy6Z9n3nWVe0H6p0jaT56rRrcVr3RbsPMKzHNGYZdUgIMjR54Hm00FZF+DISa
y2oLvcffpGWFZL5uyq1NLq2bqw225bmt3dhV1bydX5THOxU/FKgXacTMPfs66/5zzEcR0q3aMahp
asd7xfW12zR5axGPqpbP/z4Ut1smmqbjaGXMK+8/Q+FUE1dNiI6klT1d5sQctkWDyhuxYH51fij9
CBCxuHoBuczAJb/s68j8z1iNpYx+CXGOqIYJ69qyHwl/87Kd71ejK3C1dfPcyeh4Yae06kByXOTZ
A1FALMxezIZgyjCuEBaoKEpV84daJO1+yhME4n1evms6qkpSF0rX9oV8TINUeQDxFo8kC6NCiMLi
SpYdsYlx2tKkbTN1r5tjSVJ85t2WY15caFJ8kV4Op64m5uNtrpvghi+v5mLEfBOAMF3H1mh+qkGW
ZKR3Rspj7M2Bv5AxO2WXDHWLnhjkLLwCrgdNqK3QiHZcJhAAY/5XyjW3PnE1NK0frERmGIU79FK9
KoSNoLPsLToQOfTEN60p9N/nv9nxxsshJgT45bz+uOYfTg/kvdUUTDHOPVEX3ovWGx6K1ur3zqTF
cFIdoJEpvLTvzEt6+d6M2eAZOS8cqWV10CsednXkOMG/7ZtHbnBcPSCZzEyI+nGokOxP8TC9ysYu
LnCZj6tImj2WnLvFVLvolhf3pzDH4hAMLYMKEedXhCGIq6KipkcCSxHkxTJnbDSlq0HBcnCcXWt6
NcDEohUVYtFIuYT2H8EWX90njmdmEgjc8p6qS3wm+wTXTCNkrJI2/w7mgHphaZ763ewBJj01k9Yd
CPnhdyblIo7TDqElsev2La71/rdRKxNyQ5tgj4becL2Y9HPin8fHUULRxHZluDWrrt7izTR+nJ91
J/Y/noPGHj6xdPmW5vvtFPY9zmfpWoRt9GFGKWbYvun9UH2HQuX8WMdNnZmV+p/BFqXaiPKeucYq
9R1v2ASheY04Zwuo2uNqUmcgxeEHXxgvJBvDhTTZXRh/nlKL2U7xxQPo9FIcwlMOX72exJBR8WpZ
l2OUvkRGSRWCaQuUc46ZYor695F25wPRLu1G1IXcTWFW4SqVaq91b4wXSq0T840tC847F5d5xi1A
JKXqSpHpQbaOBdwW31SMKwOv+kvz7dQwGAA7VJ5cLNHsH/5oS06BFnQO9Aduj6QY2fWzNmrV96CH
EslisvN2n6dptkMOqocEMPNExMbXwarW44R/V3JExJnqR2CzRLxvzn+UE4/3dRqiAJh7K0tiQtCy
MRFLjaGmAVjX4Ft6Y8alsT8/yolpDpKNMTNG4xp/s9hcEQeR9RkS0TPauCVNXUicXRLB/zY5+s4P
deoHUU9y8ZGzN//yNmrnDs1Wh22ELALnRuI0R7An5gAv54c57ghyp/tqlEucIDmi5uf4zxFv+GGR
ORLHnoG4kBcMfwmGV73INoFqqA3HoDeiq3Sox24b5FOA3rsLegJ0aTuQwxV0L7ozhNkOg6w22Cht
UYarybdHfMTyrMOMtplSC9ZlAXp7/slPvSAYfxB+ICHrR0pd0ilwaeP/vs4nuLJ2LZ0bfGgupXud
+OLAoGDDqAnQjC2Z53mQa3YTAnZGws9wfFPrja7ItISmO4kLK/koPRC7c8yWwUNYIsDBy/5TZWDv
E9BEh77Tc12Y7zRpJbKHLMW2NMkFToCTPrl2llt3mk6SY5xnypqgYueBtqLitmpHeVw5zdMA/esC
AnDq6RAlsr3jU6CDii5OWlHAXEDeluH9WXntigac+qlNvvmLWl7Yd6OnWuY+Qrp5X0S6zDdNknXP
pm7T5LRYKh52TWpK5Lc1UCbpGnNuVZWqUFb/PC9sjfpwTvXAvHx5/cj9EPgQ7sQaIKPatxpa5Iko
6vODHGPkdJnI9bHZD3HIJsLqcNnIHCFuNrTVOlMrDP+7ASPcYmpdjVBCmLVhSMR4XNxHhFff53jj
4irtTMEH1rjvk1B0F5JVcWmLPlGtE22pCTS8zB1u34fPhC1qBaVV4pKUW/1TIRt8A9Qy/otx87SV
/dheERa1IWv8s+G+vZGDU+x6Ad58/t2cqKLpbEkqEwtcm4dZHBUYgWYlfrXl2rQLuYLsbOz0kC4v
pkPZxixFfNtgtf9LFom66uwoeIu6cYQY3/+Jbe1J67HkQXo+B2KSRZg3pnYVNF3nDlzbNo0cNCJP
40u7yXHZTFMajxq0vdDbpLGY3BjcOkaR8SkVBUZsU+f2HS6qzk1CFPK2RZi3U5LevtAAOt7CoIOw
Or5eFJjTopDoe3+2PW5LQBK1oUFryHsoSfLCgjhGg0kCRkzMSYJoQaNEP5wXjR92dtzVsAk8J/lV
NLr2nEP2+m4XvbzH1BEfDmzenJ+mGeAjC/KiiTXBgIDoGh4tb2bQBL9qLA7uS7yjIO3WA/6IhCVZ
7+cnzjw/D+sqiCmozUz4hbT7lt/Aysey6LMCakyiV26kYumSICTbQtjSv/VZrf+wmhAX5gCO5fmR
jyWzUJrQDToQxwhXoj96+IpK2BdlZDC07KBcc7SUkZsIOX1HYeSnnO9a+quQ0fgoFH94HzG6g0Dc
miLZ4POob0CydeNqMArtWUvU+NHGnQcZIMfedeVF8WcSe5yCCKjofZx/8uPzaT76YJpxX1WpFBbX
gATZHZQWQH2hqD01sB/c+w24R2tjofTvQ5FkB/iLLorL3uIdkUwPXKiD63RYDG0wTnRWhR11qxFH
2wu/an7qxUxgV0VWRGeU72HOC+c/RYlWm+Mgc/oXTSsTuKaT9pywJH9NuuZfK4464v+L/zWFV5Qo
3wu+6IU97MRrZUZQ483Fl8lDHD4AVl4JRocqFhaiKjd+3TluJrN45cjOv1BTHpMFLbxbGWgujDF7
MBdFpZ1FEH6w7V6TwprZ6wKG9mdWoTycA1ebZhUPOjdr/K4nZztYntFvLPan6apITAz1FQUDzBVV
KZm3ZukoONvSYVubqR2Q2d5llbb3CT/EaNtvy43ja6XnKk7v/ShMzLNXHUx7h4AErhEXrmkndlTa
x/TUoSWjMV4KjIrSgVSResU6HozgjSDK9kbn1Lg1iCt8hmyiuukURU/n5+iJHZUsIUis1LT025Ym
abYP5ofHUYHzZu5tCnDKlR716r8Xal8ODTOTDkkaWSKH02MQbR/XwkGPHo4aiobRfDKHCXk/0pVp
FdK43WOqaewdWZTXhWqUTNoo3GAEL6E0YZ5SUGStxrD2dqLXAKfPv4UTpRohhnTKBVMLPGa5fhSy
MEYyB6q1Fthqh0Wz6bgkLBgOXiJictZR0MP/D4iiVYm40K1tK9pywtKuTBKMPj3LX2V1Yv0I1DR+
CL26xTeyTS5gpvPpdrjIJQQ42lj0MXQ6ecsyIZH0uAoVORIhDD/MJEBGkUvpjiaus6smMYPdhdei
H4/IVVnDNoZ9jCbK4rxlEya6SCH0NM1LfYPzkokrOXyLetTjD1RiJI8WXmVvRCTLayMZ+m1VE9LY
Dbr/DO/VvKFffZETd7zXIf1ioYDhmLS6lss/VTKB77CGhQmGWAVqStv6HRdB9OGx4D+dPh2TrWLN
nvF9ieclDkr4s1Pite0LkFaabz3PJkEhod+CehTXynelavQ/cLpr6dr1JNT1MMEwFjQofl94occV
J005NkjqbRAZPufhOuhLGHxqpSpY13VEjnR1QidqNIa9RkNzI/VRInUMMOKq/sfcmSzXjWTZ9lfS
Yo4o9E1ZRQ4A3J59T01gEkWh7+FwAH/0vuP9WC1EZlUlSZlYYfYGL81yoJBI3AZw93PO3mvb8qL1
nMEKR7UxvgNEtre/fi0fV2zLsBGI0KpGuEfz8+1LaQDyciYHRdnHzVdH8bSTJ4wXzETDJx3Hj0sM
F0KQyl6Lygy969sLKYmTltxkXKiTUaBpecYUlrnGr9/Oz66y1jAmMi1mru9d7FqRD3OecpVssllM
asDPMYzOT9bojx8aSyV3Hl7EdYV+78fUxxp4h63lQZrUXbDKFLdwMONjr1vf/+r7oclgM+Dio1kn
F+8+tZY6ekXPEyGbV9WJRiI9f3TQm19f5ScLH9NGjrnrwYHTvLt+rP9ycBiI/jK0NsKjK3PvPG0m
+RrTrg67HoyN5NZ8jIsh8/HpkmosljEoNDGGsFc5g1cdY1E4h6ciTuHC58L5ZKf/+GlTWGiccSk0
qBzfR4ixWGtRVBQYUs32e5QXOmi43rjJ3Hz48snn8PHBXFsjbLwMAi2e0HcPpgGHkYUk5/ZJkRdq
3aLlfqbp/RFFaLaR2eT5KkdWO0CDqoeRnfR3ou/iBw62+l+GVUBiWH1cLhrjVWP37jvJKtoJkkES
mx7CCFNdpoOtx/n+k7e8VjFvtxMPmo/FEsrdgwfq3VuOFTFHeUt8WKV3+b3HUcBPXeY3gJeRt5hq
RscCZH4+jOK7QbEZQs8Zv/36RXz8hpFLU2fxP5zqoP/e3n5YmzFBslNigrDTbTJTNtLsEDD6288+
1Z90IFa6D0nGnMTJoX1vcyHnjzW3HIrATWrigKy6WFtvaTFoJ/JRKlC9iWX9KOrFSX0aXOb5PHMq
CCLCrYRv9lBQkESNDEqW3s2cTxaWn706Ek05+MEXpA3wng6wFBL4m1GUKLVcqJYjhLqdjh/4bsCf
fyf7sjtm6qimQWxgz0EtE++gdN+4lYuvZKasILhlIZn019/P+vm/u0cYjNPCXQXeIIXefT8ETxSJ
MuRl0E+iQPZmlgcbGPdf3YpWjSIuGRqTlJQosd7eBdqUDWpdiCpgYqV8a4q0PjFqX5ADWOonTbkP
b4hLMTh1AQqbXO/9TQCJ1GwqJEiBJ4k/pBSNd5Tzf7kXDaTXws/EXo8lkz+8fUNVpAD5lKDcsS00
e7RPkLs71wl//eV8OAjRoqd5RQuLJxj56bsHOC2cZYI6XAeFW033bZ4a9wZ02AfH6NUD4mjbj221
20/A2WH+LfVf/9ZoI6/pmTzDKi/i7ZtMo9GrK5tKC0XL2nz1ql3jCgJiaoKcfv1OP5RGfF/uqjhe
pQLrI/z2UmjQykTpgZjoeg3/q/QrXSOi6phwQDeGT3P8fnKTuGRwAq9jaYJF9u5+7IHTeM1ItVzi
LcdY4lWhTXjtobWly1h0sUM9z8YdxEEjMFyieixiNJjgoJfQGBv7bJ7pBlr3ePPrj4GZAG/0zfO4
MmxWMCgqAyZX77cpV7L7uC1hJbQQiLOQoidhUG07Fe1MpUsvsPKJaIupNOJLXgARezOC9K9FRxOP
PFfD/J7GUu92iRXLr8tgzCdm32LXgl7RgxKKDkr/smLvixtrhlTA4H5BYOQtA7tEUaJejjVxg2bD
Ho5RNMRYPFq1LS/IPaMuoYFLLFiizd1dEoFYDsxYmmCaBwkM2enkXB45iSItrViJA7zj9CzVWCFP
epDk2WyqwczTMOGzvugVDyvigrjhJOBhQeavEve1TOZxbzdToZDClC0w+tHC4u0e7e6CaZebAb6W
JC96nTCSAAmC8jVzUnnyEuSB2PZTgxs1jkn+FtJRvtSAtB9jJ9JJ7OvmJ+H0xvc4q5UvjZpaFVZ3
K6l9oeeOx4YglAuCfhUC4k3ZAJXmqNSejSvDKGzGARQjk9Q0ColC6bMw63kKDouapLvJhK20K2M7
WchfaYD1uXUDmoCEOzVUet37UhKDwBvE2vbUkN1r+qpQSdlSZjxnl0NislppoLSREpYTeU2imG17
I6yWEKwiW0Cvghjla5roEGZbptbN81jWpQ6LvV/AsA3ZdIfaWDdDZ1K7+66SZRUKbyBHBcVw5/g1
8vk2xGrEbMTSZrhUvedAUpFzIx4WwhfvgLQzyMqadqi2BXdJjIyxmeqNR8JjfVwaqFTgVKuSwYVg
hyM6gecqHIHljj53mW2FxJQyACTeiPitqWoAB1JM61Nor+a6MHeW4nu29BNPNy1T3Y8nIncMDa2M
H3sW8Udov8SD8MpFBT89ctykO52jkZ5k/Z3GqJhuPVW0DzmQMRSJ6Le4QyhKz5gkqFowaD1C8JST
VIKUyxivKuKMUYmXE0wFIOexgw4xIW6GFD2QFzxPiR9H0rkHR5LVgZF47kWzdOOZwaepBcKhwUbs
iCmnzYIjk0jfdpGo34s1O4Eb0VmVgrm7mevamnzRt6zFv14KPi5R7JicmVj9V+XN+8NbtExZl+X0
X70YnL+qDuw1HmEUv77Kx044FiSqEIRTLvhJCpG3C6/eOE6q12vWi0yh+05JfgtdYgjwqbZbJjnW
BT0C71qbDIjVlYVRRleGBAxzY105WpHdT6IlLok2nXdnFJ7t01+Tn7zIjx8FyjlKaRwYmCtpj7x9
jWiuFvQPJmxktXEv66qYbvte9T65yscDGkuvy4ZHlWCve/u73Zaei16qSVYGiiw2mVy2kemR4qze
WbG1dSrrAdnTWeYuAKrIe51JvwTdol525fhJM+3DmRnUFoG/mMSYrlJUv9udNL1xB6njsoqMOfrm
kU4RVvXSn1o7mj8pDz9+tODs6Iu50KrYf713gxBptrLgKLxGKDTOrjGK6EfTO59lKPzkKtpa5VEG
4F5FKfD2CzS92XJ6klhI8hzyrTRj8y5N+/iTNsRPPjaOY/QgGB4h0Hs/t4eTSyZRQ8Ooi8ac0JBu
2ZK0tqLwnU+KyZ+8Hx4VRr6IG+HEvgc5dgayA4ck8cByOSrkqTNvowYJ8SfPpv7hLEB3YLUtoB+y
mMO8uyGF1Sd9lhI8D7+9I7apooUULGq+uBsRVVHj1y1PH+AY4OG+ks3ysTVsWQeTJbM1qbkVB2GI
YvzkQfnJu6dWYKrKwYn20ntucZ+0hQkqHwZKV9kbTJPuJtcAE/363X88+/L7qVlpj3gWI4/1w/mX
voWJ3mIRBV0IrcW+GKAXSrbcpCz4aWoyOLXme1k0UKWIgfVLBnSHX1//J++S5qO7oj04lSLveXv9
XG97wjlpGDuFRqScJ+SFWhTaJ9/xT+5ZRvO05WmfUSC9VydbIrdHmWnNGnfTwcxBhYdZot0XkVl9
8oF+FImtxn26vcwfVlXaeyknGbYFUckd1UQ294eE3JiHbPHme5FayV4nDeFKCC2/jqM4Be6u24+i
N7Lsk5vnT7Xl2wMur8JgQUcw4eGBffe9Joym1ChFXWPDGkuPc7SoT0kuhm8oGlMEbJjoe1+2snJP
UMKMB022WXIc7XQugtIdzNuIWc29lteE/1U5/oJCR2c1D86UbAqApy+Yu5Gb6jR4T4U3N/12WaT6
PR/kZEDBiWnkE/RR/nAj2elhHdeJ4qfmYt//+vb5+MWCWGMkwiEeRjb7ydvbZ8jsqdGQDgXwgLOQ
CsMMqjbTnzBcup9c6mPttDZ4Taaa2FoQWb6bGli0jzEDQY+eDSPVj52qL67fZLV54RqMzvY0Ixp0
49ICsfDrN/mTK68dekwwdAyZEb+7st21MwgXYoUmXQ4PVUYECXHw/dZwWuOLnuTT1oza/OHXF113
+7c3EGsPNg++R3rbH9R9hJL03EEwZd2lR04aSct6BPFlnfdRurB355+5kz9i81a7DQsdXyMjEu/9
mDenrFALE6tFnmvtbekuBCRruD+NbRu7wjjMsRF3JLQZyk2ie6Dc3bwpbh2vEoSRDUVylcqIgqJu
FDBfBTC8O2cozRDbhd4GUweM98CwqX2p+6q7SVjOGQRaSfpMVpMHL5Vkk6sePzQRlBWzK4KwFOEb
QsmKTRPXeX42Rbmt+ERBtnioREOAS+sqpRbaJsKakErH/KE4c1/tM7KgTZ8FFQxv24E2TJd8fuqU
zklWlWYk9lPMvuxXrFSfmck+PBDw23ncGUGixKG6WP/+X9bzziKQlOhCUsmWvj+jTyawMhCebOJi
CH99h6zHiTd3CO2KPw8z2IJ4+t7PWWO8WK6ajoJ+tlOc5zqWupXa1RFaGg/7VXmFvcLRL6I6hxb4
62t/2Da49hofwmNPt5T/v32bGMIUxCULPBUGJUe0CG3ADxj/2Jz+7WX69/i1vvrHm+n//h/8+aVu
QELHyfDuj3+/bF6r26F7fR3Ovzb/sf7of//Ttz/49/P0hezQ+sfw/l+9+SF+/z+vH34dvr75A3V5
OszX4rWbb157UQx/XoBXuv7L/+1f/u31z99yNzevf/xG0EY1rL8tTuvqt3/+1eH7H7+tnvZ/+9df
/8+/u/ha8mMoaar0Fb+esn/tlv/7fzCgp9Xr+59//doPf/ymeb/b+CvWJjuLlMa5/re/ydc//8b6
nV0d5R6CMHjctOB/+1tFCZ788Ztp/a5DiNDpuxEzAdaMJa2vxZ9/pf+O74OzJV4elK4YdH/7r9f5
5gv7ny/wb5Uor+q0Gvo/fuPef3eX0s5DrU4feD3mQ5p6dyieIKtb5UhVY45dz4h8QnLgR2Xhnmvw
oVGJEdb3PEwCZdFixQ7xPN0i7KBsY4roYaLlss3YEhZCM4X8Gg9Su+9xV2Uh3srKwgTddbjlF+nE
m2Ekm3kD/2GqfFiwrXto7IKqEvOTN5G3R0CnP9lR311Y6lRFodfP6g9VK6iDhtFGUS7GooAzCanq
QbF60vQQbcYLkqjMQZNBKXV09EG1Nimn2QdPMdPHjgDps84TnuZrhWvdSgnryo+svCPabpnwLhaN
kJvIciT/Ida1vZbSkAvbylOPLqrV7nwgbmHZkYPdndxRGmT/uYW9icGUnVKz8G5VqFbn6RwVIXIV
fq1RueOFFFF2kc5GgRuIRknpL8ZIO5F4vXY35Kq+4dXnTxF2nVNR1gQKtvYMfSXNpYU0cJmpcmvU
442vGFl70xG++APvVckIzORzD9scrU0IDpkoP0MWTMbbEeP5fkGOTDpwl6cjCUJqtNGgSxI1aq+Z
WU7jpV+kqTpkdg2Od2kkuUUm2iBpbiZjEZ8T1WJ/UbrShbLmVOMLoUzOi2I2y4yyKG9PA1GwBf2b
1NnHCJFpibolKBzOc8m9w9Cq86VTTeRIqnl+UbrlcIFxkBm07o7Ae5wk4i5LqCnRPTAjPLPJ3f2i
d6Rb+GmV6g96p6iHPGsay9fmotuX2Og6DluLGHCKrLuYVprp/VhkRevzXDT3YIHib1ViY+4VUe24
mDrK5bF0O7LByrgpMdPPxHtzaVVt/SKvcsKCYX9csfayMYFUtfWwgjyJ+c4ks+hk20Iv/IW8UGeD
q1Y7ZZwsYr/p0tTiLJMlWPlR3d2Oi8lLax1CDI3Zyw5FR27boZlbshazUl449pJ/Syd1uJhwrhd+
Ocba2YL5hNBDy45uB6+L1x5FDxtgNB0hgYRqRnnUFSHBWg9oLnjCsvIcuJJ63w/OYHK7NvLLGltk
B8vUMxJFtz9rweL2ya3ChAAnczq7LyBKlEeXpd1gc86ma72OtCsxqYAMoMaOSUgZUMitzQ/vqoRO
alg6GcxfwyOceoPA3FiOU2xrD3hlbTROYz/cuXpkjkEHyXIKO+pYjQ5hknT4OZw6Cy21arCTsuPU
V56cON/OHLm/q6DwKeg9ZbnKc696TKdCf/Eioq4rPJjahuMvH9ycX9NKlU+lpcmnQtXzG0MmxrwD
bFKRgz0ljdzVY07mlK5F7k000j3wI2JKOEBYU0yTD9B7uTUKt0M9U6nDSOp1VF1Le4ZPIGEzBc7a
EDRE86j0w/KSgOKE5KamXc7rVBvakk2lcNIZx10SjeSLD1COjkPfFHrogh/9LpvcfB68uEk2+kyu
DPezxAVnGh0hoSTlmWSRDvN9l2kzaaX40pfQNrj81p1FU4EQ16pvxVxq3+LcmHM/USc0vhO+5SQY
IsZqG2xRlBkWorKHDrUP2J9+DfuNHC95KA17gn9LfJwVKkllnzk12Xi+1GHL+XSm5Qv7hFIxZWwb
ors4gZ4Ub0EzwEMAl1u3GaxtFFebHvtahyhE7jYD12Fe++2NJP/tLKuT2SIEjLRFEiEy0oyzRR3K
izLuqhdMHRkhgFKK68lrS6iMnHZvdHyDr/2UGyqu80XLQjga7AbLsAB8EPgj1j6s1+VHh0+DXi20
PyVI0jox/EpdNCYE1AWwHRqPeKERZ8x+jIx+DNrJbmqfCFf1gX5U4ewS1C3mvjJi91Yp8s4j0xp3
3lZxVfWCG6v0AhtcWnPdppFNedOjtAm0OCb2GotDEUD0srJbIhGK4gg9W1HubU/hn0PTMb3AUdpB
2yA7HtzT2vwlg7chtXoj2LS/eMxcel+TqcOkwsHYvVXIJibuOV9u6prvNPSURDgBQQDTN1FVxaMt
zFrsSWd3ToQTFoBp0l68DEkqL0dlsNuTVTlx5Y8eMB9RjZsO9ezop30e53hok+ST5tD70+fqvTMR
wtOfZrCKKP7tCdCspMVKnpKKNWT9VQkT4MC+7YTwQeONnlVWWBD5d2Js4/zj7Pn/7lT4/+F5j6r1
Vwe+fV3FXfrmhPfnT/zjiKfrv2M3oGIm5ISpGaXFfx/x7N/pOPLfKaxx6tLG+Z8jnvs71hWcgnxJ
Ln+xKp//64jHwZCsVxoyGrJwdATaXzniMQV9JzpRsf1RMtp/WrCgfb2nu9XEVIvK87DBu8qXCEpH
W9wm0TLs+7qw9oa++qaGUt2SXBCqenQB1F/dOyXDmsxJjC1zayvIiSYMs7y8j/TZ3qLdMDfCyUpf
keR4RFVtbKdskVjpY+O8MfRh31j213VoeeVkTnO0IYrj/qoB4BT2M0iE76OzK0X0tetJBSCDT5yI
K1+uUHa2R5flINAJzT7pqaJsmrTXUjhYk3cEgxFfTXE9BQYRCzuKxcPQTKSXataVpXhfsnkNxm2W
M+i+Z4o25b6iD8qOQ1+ziYSmbEdFMc4nex2vKW0Hk7OCCL7iPrdFEZW7RO3zm8mO1SkgGt69i5O6
3ahDn2/Q9rkP0+hGe8PKTPbLPh2l30EN1kOSBtU7yEw4jodauWtcgxbS1LVVYOrx+Jj3U+MXKeNJ
HyGcsXdFh8fedWLA361QiYhxPOVO8C/Wj7MZ5AZhrrER6mCpG5jnUeWXpoxOqYIFn+67lgSaOiAe
ie0YSnsqyzDuLTjZbBD1EzPIXeXUyiap5+YL9t54qzBs6/00M5Xet0cnvzXj0WQIVS9kPgu31I+z
msUeFPw+R40TpcoZ+qXej8ainPEIpekmGvjqSAbOVQasmA8CoeHuQmcOwnMWjv44zpM4ZMlcHqou
nfdqVL0Ys/FaFwsIysXeFHSHfxTMYv08UXBW1FnWnstlOWnNtQZYWxvKEN4Z4SltMQYJCcc0EQQq
GCcR89OsJf1pQtrxVRHqSbM4UDcEctImMHZLa/qlO5u3c1xXh360XtoWV4iiPBNDeNCd6Fudx5dE
UOyqSd0DrL/pPIc3UAx8q/FsXwlMla99Ypt+Vy/dsYPIE9hr3vs0qBPAGC1EFdVgkBlPeuYWO6GV
3pVZkhcPXnqyus0c7T02irO4McqdqyltWFndN0rB/VIZ6tdpLUWQ9nbx4lOZpNt0VKsDrALvwl6q
aYJLrc8Psy74dYaaE2GlV8UZ/ACy3vL2um+LJnBl497NbV9eTzPlVzVagPhHqewZZY8XXueUPt6Z
le3vJEFlJ/OJ067jT2D1HJTmjC/jTUYDacPpebrvWsq5zBrSM9HgTcXtFR1s8PUHPSrcp1GpjXM5
1goTb9GMgTpw1K66Z4dhLmYq2l3BkEGXESP7CSIyJWhxXWRm9tTIsvaNrtV2Xma4YWlyBCmt+p6g
2/ZCreIY2xdQATD2QIAHOEeTYaVnTju+zAUBq6QNrwaWbE4Qq67Rz706ukFtkkOu8VwPKRYur1AJ
Iqg1olqL2j6PaBTdlJYiz6xeUfeFsKoz8Af2M8UzbFudcKQ6u02T6qg0BsGlyFwCw0PNbwxjciML
Sw0deCwHYAuM9EA7J7xrJJ5+lOtBM5wvRkKJhbP25ArZnpdTzDN8W3elt8lMu2fIE/u2iZVr4Zyk
K5IZ86irWwto3WXUqmdClfZO1c3pYCyOc5MamuavTtljw9rPPWjGGwu23Xk79GQ82qyzMYzpKt9I
STd+dPeIFM49Ld21brVDsMQKYY8HtzLOo4HnrZcv6wgxYHixnWUGkRjCehQs0RgSA3NmcdaBkEPu
Qrehi5dvEFA6weTm9lnUWaExa6+tS5g3b+c4zh3B05UEAZEUDeN7dHoqh72yKdNrjyRIJvJ5cWwQ
NW8n22AcPjHOLppcXjEryPYAUZs7S+02aTWFaW6nQdIhLhDlAw7jhYBhUpwt61iNxYbU6WfO3ghd
XOc0FArRHDUaad3svcNEKxtUk53eJeVUROD91OHQWuVxIl/aqjJ3o0tsBGpeRYidXHOmfeDcT1XF
r3dTZUP/nu9gjUSqRZ/w+VdEA0gOrnkR7QnutgNj/t5rmdypgmwmHrppnxrL4zgKnd3BikNJGfdo
eWU4GvVIyq3sJTexN15lHaz4WMTbuR6aTTYOaxSQhbtcTkfgG6SRE6I1e1T7HIQv5lnbD0asXGlz
P19FLaoiorcvy8W9daPklGs1L0zNObWmV0rUPEtjIjxnSOaNrbfpkxVTN5ppyZtk9QkczKc65a6v
C24eo4etY1PPQLsgcXypNzkf9gVIWWM3S2M59zJtehjjdtgXxXJwZZbvLCw53B6qCBO9EUcjUTca
Pr9cnJHzYfsZc4HOT9xG20Wzp/tJ29d+wxaMUGWfoA30s7J5GntsFcrQ3OJhcI/V7Cx+orFvxt0U
HWSX9rtalBFreCfRjFTXVV9tUGsPZDhWu7Luiz2+FvU4zIt5N2gXtFpkiNrXDq1iAeFlZiqJFK55
1mfPC3CYcFYjx/GzergxBvzz0cy91Q3KY9LnCVVWre0pRbwrkc8py8OAIJtTMWOrbA7o5nhbStM0
CXgL9s6WMgID06nQ1ZSYmsUYfY5mZbhY4lwt+WrQqNwbWboz7GHTmsgdaWXDA0kuvbgEJOWEiFjZ
NxLo0HwWvnCHZ2Kd+LfZJAPypKKtvaTRU6uM8iYmmOE8ykDt2VTpu8VLJsyVzeCro91+QdQNILxc
umhDW2RJNxnLTbjALSmXGBSRbKjUau4mQj62LOuPsh2286Dt5lQ5LU12NuVPccmGmT15Q3FhW8Ul
sHKMo/XOIuPE7xLjxkbO0xukMs63VWZdx/k3r0Q8Biow9tACdSDO8nMvwg9rHPJaPOmCzXXsw3Go
L01h7Ns1DimnF5S0k7tBW8S6aAw3MprUY1vZ2BGpQ1OcvHYWP5rgBNG92DftmAz7RHo1fULjqp5i
tqp6o4xEGWIV7TdpszPIl6vt4mimT3NrbYXqEUNcQmmbiku11+G76TQ05FOjJkfLFBf9YF52dXs1
cMMsMpX+0Hl12BtLv4Hv0m1II5G0dayDwrEVX9gMk2iMPICEWnyB5ma/NHpDGc53BDo6KMrqi0sO
jp+k7hclp99CjMkcuAPbA8FDNJF41iaf3le5ZSer/TEnwZg0NeuQtVheZV7twCU8L22DuhO9I6To
6Kp1lHRv2pUWCiVCgDWZt6Lgq8zVWWwcI21vmo7fZbdN/JIq3ZckGbONrhfs2F1unSxRVztPIDF0
qjlgCBthF0/Oy1l5TTznvLMkNxdlvtF23+fEO4co4nsTzZwh2ebrzA3g0sZIuz4w1pfltN0TBzZ+
hxrETRumLicmZUrmp0Ib+B6zsXziRiv9Qmkei1xeCNd+qYR6W1LGXChq8crprDnWtKifjM64LtWB
V0VOu0QFZyu3Zqldu5hKtrE+RpdaL2/aRLtBDbAj62bX1/P6IRpbYU3VbuZCe1WN668zMt9bwn6m
Q5q9iprpaOluo3mozpeCU09X2KCT+vmLSsL3uTvmCBybxrssizznWSnbG56pK7csvkuN4BoTgzoQ
ZfUwziBO0WGDax6JqAs7quIzI+rpYgIU2oCnPdV9ny9+YTq3A2lgqm/l83zvpo3zDfOFGyS1zM8i
BrxhHLPBt7ODTK51hxDQIIt53YpQY27rU2gX2KYBu3p5mga1bV+q8zJv6M5wxKDCHmu9OavrXCd/
uxSQpvJnEUU3AB7S56hLzhx2+qEZvQ3Y0PzWTor2VAIi2bIjd4GZ8xq1GkFhLYX51agbfV9K2tUI
B5VD7SosvaiTWA7jkf+YyZa2hXKnIEki4U0zy5PuEfOXYpXYaM4qkeoscSRrobudkqW/HKPU9qGV
lHfKrOUY3dty8OOSj4PGhHdgt2xPaufF29RxaJfPircxcFwIBLDeF7dJ4+0Q6wSusqbvFgm+Zywz
tIK9O/qxJCwi92pxRFRd+K2pf9Ua6X3Hj6uNfh5nN1UBvT5rQXJMpMb7kH6eE5cYKIU0lgPwtupY
1mLRQI+J7sDZWrs3k1gNhVnV3KRe96JHY7vN+/lUNXFX+FWuefedYB8GWG7Dwhyco7HoSVi75bxx
3WX2nXKcA8GrelDIvahxaVnOJfTgONCl5uxzpzf3wpbwsRiRK3sYhFEgh/kRSKkWxk5j4rgDvnmZ
ec28j/PpOWHYWoUtLTGaOy1pWQTzRJddnusg45x5N7NSbgYUOOe56L1QW5p2N/eLQTOp1rfCHuRR
Q/PAWmOyEqOUVBGQxqmPqjLQR1uGw1KNWzKN2mNP3/QIbVac9H65d7RcfZSjrgUWQ5aHheM2yXPo
J+UiyB/JrHKnuVW5p78kgjpJixt1shimwAhTT1Er+lCrqmnTOVF/XmDGCCeRaZctaQHrfdT9GI1B
Bq2X6+edMexSrbqZvMeiShTdH8oHx6nrr1pSRpvcaeHVGZG+15Wi8peqffGq3tzJOfYaP5oBGjZx
0uwcdTLOMlwNgd1r5hXN82cMsNZ9PWodnjcsEAPP2SNBSBQ2lk1ad1xOuyiB5Ukz0DonHOIu66zR
76RpHYAHltyt5fNQcn9F3RTO2HOOdgF6jAwrN8Cy6p709Ymccu8h15r8WhjqtAWxoIWNmV4Zcf+j
mgaOdkZJ6IdjTedU59NVO2rehmzhp9HC8ElaYXLWjDnJLzqyu66I5clR2bczGWXjpsytKKULn92r
9bxcFPMq6Uw46/cKPWp2kCXxiBsbdfNixZ0/uaJu99Do7U06RtbWq9lyVOk4e7wZIBYdZgnSxhps
wUNXNN5LNCJ2HpkTHhCO2ddG7M371hnLXU0kWBVW7WI96QSNXaMV1W84qFnfDLdjxKCKVHAINORl
y5rOSpSY3xXARrZRjofYaIjxi6LyurRfknYPVuaKvudLLL2wbPED3iT1ELj23hiqbzN7+pG89iTw
6qbcQ21stx64cY6dEtWhhx3/GqGL5cd5Pj4YJlutQoDwC3ck0zm3U/alO8ZnikhDE0r7TYY+/IkP
PjtNhpO/gh6bglnprJ1LssZdYc0srBlSe/yTd/pQUS6QvPCQlJr3VMmBuoU+9/PE8PUwR0b2pTOF
y1Eq0lh2xo74JsUp6/0stDCvEdSMoi2+1/h5U2JtTRVjntSWPOgEsbMbJamJdIlIEUieSyPD72TH
wwnme8zAxVVUbTfgKSW+dDKVm4lDLXXd2MVPphkTjlNahXiOpxY0Cv37+qayq/oq5z3uippjY2DF
c342G4gxN1bVapd0vAkLNUqi2Ga3LdeMgUQ716fGeLTTrLxgFkJYC0YdxfOLwkzAlchI3oqpkkto
cMlkU7f2hQr990FpNPNQaspyU/Y9lanmFM0B8V/N+CFpo7tEokJEq1Q7V+aSW680k6ew4EjMJubW
uFP7NRVzZEh6AleV7mpdzKRpt4kbUojq36wCzb46Rco2R0i6Z11qNlYLCmXWFodioaZkyrx1uFcP
xyTG8uqr6DhyOE6yVgJKeO9b7C1XJTr4e6IPxbGs2v6kdxEtG0orn23Oc2iSWS2CFcdFIN3OVNVa
sZDMGLnkb9WHUXjoy8FSs9pXZWDSCDgmYHMCo6ibc1ik08ES43HKKJgy5VQlxl3XMYdq9Rljabsd
KEdEDHhdkOe2Nzl7BW1V9wHmOSr3ZfInr+vCmUluZ543pcqsFQ+UHunXvIuDbg1Ppk0s3GxuMuEm
obDbg0tMUMY8yB6fWjkGmaPtSg8bbWQD/nWxElzEHF1vZtfpQwt/q4WMzU8RseLWPuFjzgDNFWwx
Mq30EGQhYNExC9TpIS/s62ZeQr2UW0Z2d6ZabtI2GgM57WXxmgP9DkZT+nZq31hLX99RGTKcsv6T
uzNZjlTptvQT8Rt9MyWIPkKhNpXSBJMydcABx+kdeKN6jnqx+uK/da/ZrUGZ1bSmx05aKhUEvn3t
b62VoUbUirPO1xTreewER4ceDGtq17Of+/6Jojr/Hu23C83sj87yH8dalosryoO3eHqDxQafhr2w
dXCrX6gXZdwgLBJdj+c8Cpe9dw+MooT9XJsUcMrcO4eO94fGDWa6SeQkLYQRE7y5qe5XT5cz4Ylt
l3Pfu/0sNsN3oIR85gTe0lU5b6yiXQ4BVhbDa9A7bBTL3LV3DFE3eX/heVVxT9gvFoKTLDf2feY8
/DlfTlPStGDvUPe2kpLuOMSBMXc44NWdVKKaciRNfMm8Z6+ekgIJRWpcGKL/a8/BbQ2tK9ucZGyi
txrSaGMUbv7ccQXc8YB+qY694P15VJbV89ctDypbuJuE9LuYC09FDeXpgJ88Gfayc3WTMb+A6fvh
vK0crAi++eJ6ahvmBaePd56j7DMID60AKWpZPgbR62rctbHwbOk0jkb6CCWTbNCc1xAswsvDt7Tx
nluDJXVHC7sejBvVyvtRzV9mXl6zgn/xYM9cBfytu8yf8Igxc8NurgIOd/lQpBcCTOa4F+mJ3f8z
k+pD6SISq8onpDsNP1rh6WRd7u/07JlQkDa+J1VjobePy6IAHcI0EdobNjbcRtUa+7pg2VV2VkQT
B0KK6lr3yKn/qwAuTlEek2nuL6RuPM9rklX20eLezx2R6FYPHH9S0Uaw4Yg9OA+eLYenkciAKTgh
1WDu6QJePx28kVGXhyEbTj6GLoTD1GNawvVg0HPjASyE6gBAcPFNeVicR5RHxn5NiKriNEnhMxZd
Y+nhV4MGRocyUZq93zfx0BPIja1xPnRLEy8NgWbTzIIW8e9Rh9WuLwe+a16wGaZoAu3BgFmQVJy5
GWr78+qYe2ipJPO/tA656HUph3n0N1DV3inKAWzgp+lSBHt3Ha5mbZtPHZlrSZA3d+P/VG7mAi8c
6cmgdK4tSB4da55lsiO4B31VFLXWLgHgvjKuvuSFV804c0hN6rJtuiKxjfUpb1sKbd2Prvtlhdlm
iqIbMPamFdEuaN1mM9HotFZJZ7WxA3kqLpEIEzV1ItZumvjNKdJWotv3xvoJhfXFcK7j3mq7LX0g
j2XtpMfMm8/4UPnCUwR7nic8Oqn5KIf2WmAkinnJf9fmfOMGcpRav/dzdzGX98jun+sWNwUKU7DV
JHwfyAx8L0Sxz7mm+A0fSpP3xBd1JzEOHLiz8UZjDbA4O41505nj2ZQgQ3JNVgoibHNIPHlZyvpo
iPCArzs7d/x/ejzS9slu+ZEO2J2a9kZ3cdGpGILcU4jfL63e0B3iMn1rNTW9vFGC9cWyR5T+YSei
/YQu2gxghwurfkSW2aQsRYZXVipxPp6L9p1XUczMEaNBxGnescR4pnXgbXY1sRYLnK7z6Htv4dhv
LPvDW77L/o11C5c9roOcBz21qfBC5w5/WtDs+vA3YMtmaKyNhd5h3oeFoX4YDDS3scSGwjuN++T7
bPTWBhjjvJpjEDcEoL327uIkI8Dk1mZbs6ns8HXKI3dXz/YzJMhybfuOe4idEo86/LhzcJKl2rr2
eCP2SO4iuIWT27BrYH6BCAitc5NWr7Q2P7SFcezoJ+WprvnI8khyacTNlQdqvbhpl6xO5iTFGBxy
k2uoTeSRuYRPxer6W99YdMO/gfvd4mdn2xo/a88RGXrZGFwdObya+CUO4eAtF+Qst3pyquGHIwj1
I2CScfPxQjKnGRfl/U0+LOEtLYZ5Tx0GteAlwgevXzYad+SJQAq59k/aBBqi1wcTYKUdvsu5498E
UCscDQ0Z5fjilqjDPteaFgN1cI9xWdPs9zC4yyUgU53Zmn3d9LtpFrAGP9j1Sl1s+3HtOGntfSnK
Bdx4jnbEyuutNQevOVnJWJzOZmHemuaXphfZ7OVraQRxPw0JkGwIoGCddOHutGTDVq//Fk3tJTsJ
TSWhV4XpDim8ONTk65E13PsPrjn7x3JorsL0EHObJDfz5wYhF5klm+DnoidJFiV3GW/mzzKKGSju
pkO5USrRlIjJ3ag7X2SW7Dl6uAk05KK6Zum5sL3xQI9Pxj0kbQ/RqLonKwp+FyITx74nCsvqRHS7
m0BOIig3Ob+FjRc0wRVW4yiFuuX5rnWwyxGs/634Y3fuztwD9rWJZ+vnuqOspTOM6nlOc3PfBPnZ
DcutQzhNknn9dspA0NKmLoiTdo+TWx2ndtw2bp5uGrf/hZb9OgwLTLHO1193uBccyqo2c0SceRsy
L+kBG2P1KxyHh4w5+nXxsTGOsMQxF7rnuYi+oD32lj1dtB+K/erW70tlPKAuvAHFHgxvPlhN+LTi
e00Gc0TEiiYEf+9E4OWTw6Q39qxvq9GJ84HuedkOb7KFhgTh2Djr4KIHi2Ejy1ZfrX6wt55LfiO8
4T85U3W8FmF3WFX5nS8pQ6PHETaBzu2hg76K8CtY26fAEyUqhH5tzOUqMvct5PJooMjvSdxC+ACI
33G9P7YVmaZytoGQ+PVsuqZ9SSl1Fqwo1urUY23fR33+pwrZ7uXIBxaHY2a+rGF+rFc28wrj5sZc
eADxKcYhzE+QqsTMyosROAtvHc1agUia/ORPxQnVLd1pNcFJtamfRBXpCpnr7BUN1bnf8f8sagPM
po9CtcZmJXnpLZOhRb+K/0B7PQOP30Sk25WXKU8t3KzgOxPrV0K/71u49onDV1BYaYtNNLb+vq31
TzOiWow+PsW0dKzd2mckqYGibzMMpA9l5dxEoQesajzG3RDK49A18pS1Dq+gZh6BXDqA8d4JDr41
fKb52uzQMOxEd2mOQVXuZsN64fv42AnUG6QtnBT40rftOrDupQkyTikz+g29FvJlWjSXt64968os
/vqdq45hm3cninSY9afRRdRb7J2whJF45Z0JJf9y1/m5Praz1x8NHxNvVMuSZBHipoVTWLFdFDRR
r9GQODPVL5jdWrB19NhR1O22y7BvzOLdkIx5XVHsrQkMwQa/BEIyREKE9u+MLdIjKU1NEqJPPYez
W0OKMigQAG1QQjcaV2d1WWGoCbi+mMmqiYqXZexelyD9qEbT2LndGl2YFkntGdiGC2hbXHE19xXT
vyruxCLsurOBm/kIbFy8qXUiZXpsvGM3InFjXUR0XsxHzBrRw9pUN+Xb9V5Eg/o7BC5ovd2ZF7vN
ou9F98Y7nd/zb0GK/B56aUEKzVgIyPbTMmqf28/60Pj5bcntZ2Oy7zotP0CoVvUyt45GD2WJUTiM
gHPbJZEV/S0bJ8mjqQar6toNyjTzkCgjqAWmCMl4vsaq4DXiVhB9ga3950y4NghiA5rFiFPYIcCB
m07bfg7XQ1ZHy+swd+IQkpr1Zhv9VVqm+GSvQt4AwTCx1c1X6fM7VE6xn4RojoHA+oBp9TrWwC1p
IKbYaeQOXWrLas7ZyqGWR4A9KlIcLY4qL3YqJYQGIeyq0qq7Abt9pV4PdNyXvNH61e43mq6YeGz6
Poma7hSZlyUzvwYEhdywdkafJ4NT3+Uqvj25u85gnqPjxGxlX3qzH/eK0LoDtd/Of3gN/79Gre4k
2v8FrRf/839UqhtB9f4bbnX/U/9BWzn2v8ByPTPEk4jFmaS4/6StbOdfyAeg7FzVA2we95zV/w3U
e4BYxL97d+AevRDL4H/RVp71L+xfWGuAFNkSuaQw/D8A9fgv/w/yjjAHPDr8LdD73JXRrv87eTfN
TlaK1PYSK7VLdysor99Zcxvsq3GFnO6bMF79gHs2uhXf2fDoVdlt0q3gEEvX6txWItgTaviJKgbz
TDrtZlVc1orFoCwAnNlu7C6x+Yfg+Daf6mxckN0UVh9i27aVdlFcpu7UlvfJ+27S6U1w5hm6O676
kdchMNAprLu9L9f5LQ0pAsuxuzupj4nfKHwiS4SfDCkr9AjfP3tH0fCtH5qVvmPwV5bBUCgr49Ak
mw/mALx6rE6msQdkzPpbXa2/vFKziGGmuFAX0yatgRhl6jDfmsGwC9um2eORBQflHXSWE5R8E7F4
UHxCcdaiu0qx/NV5HW5VUL9m1RxtZKWvtln3j8VEq7KLg25HBKQ61VntHJ18dHbkkJYHP5IK1eKe
HGC25gYBzjiU9BUdbCUMMoG5DczlyBqnDJiNQrfmy6lTmxPLWQ1AXhvppWsL7mEpd7NVr69Vq3zQ
K/C1Mh9VgoF5Pk4O8dbhxFhN9uY/wxgehkisz3U2nVx/oGCFrU7chdalQLTdzMq+kFawnEjfL+9X
YXLpMx0MW7jmn7axKfCrAzaTo2LvGOX/zlhx/7Ji6s5D0KsdyhX12A0jSrpGX56x3uo+QxlzS4gF
GlRiYy3bW153qJwzF3Lt6TX2V+VsB6t7nJ2pvBqB+qQf5TC7M0GtFRb549IqFlw9CUMzpPGB8/GI
73qMU2OcWIQKzfa3ROlV0EftIM6isz5pyAbH47BTLstfAgvvbDAbdCM3XpesGB6LMOo+LbNaNyJr
KxbBbXrOWg/bGSYBjRY67c3B/yrubWujiBfLuGTwVS7zaFmitc18jl7TXzQZma3lX3KFtbaW774B
49V88FmQjOmuh6Kz3ua+Lu66KtQ/5smlvYfsuYeJmNSbpCZ5Y3XWekjRYLemV5HVPQvGRNRauo7u
wCZfT0bYYa4gqaJAmadKsFETs9G9TTgOKmKSU75a+3Ig6YHf/rnDyZIEq7Vp17aAjLL3E5RD3nMJ
xOoZHvAMhbeeO9afwoBeMxyCXfoMws6FNNm5JgZbdunMcorsgovFjuTUe63LIrdrg62ycMhIc04k
uxjHoHpYgBW4rPAncaVc0n+iyEbDP+X+X10uD5EctmMBbyEcldQVQHIT2lNiegVkVIpDpSIC481V
LJ0l5YK/hyYrHmXToAXZ3nLSJY336YTwrJ1x3pcrMCeH1mTi8hnmR55rGk/t8WXNMvuuXah+G/XF
by6N/aYvhsNQjKeKu1RiqSXdu62h0k0bTlywx8o7jamluM7r2Km03ucZhGZlZsOGpfdwcoKvwG+D
8zS1UKaihFJfOMU7tnk8TkGI6EF2UjJaHbGu/mo8CbsHrJwKXkI5ufu5ntNtJ/w3KLePtWcjjUt+
H5USmWMKqMgOR9S66NlXlJ8VaWBsZOTR0u7JYLeEJu/WYs4uojeKbRmm0YnlCLM1e0jvQTWp8Wzn
vCmoHEsfVZM/BDbvBc9UaL6+8VDk0T/NtPAsZmIzifLT63znulJ/yIzkX03upYc+yO9/7+RdjDAV
7DTIXUFfp/PLncbxRgIZ0L1Xg0kgt24mUm2KYTKSKOrbhzz0qjcrgHozrBDRM0XUmNkvnUAWm23b
OeATTo+XBD1rb3LUNDTPueV2kgMCw0jZImq7u3VJjSbbawl67rBKodV2U7Wr0v6rx4VkawkvZN1k
JD+WZTzm6/packRkXXCaG9a0jH5WRA75GHB6LZsCo2kBACBnwlkmLrCj339TbhwvacCPLVjf0Urr
2g/VHNIQJE6eJ2JqB/hCqifQ/zYZbAPqxiqypLEy9vJgVc4wfkhh3IbpncjTFw+bEobwJ3fshj9M
7lXMVcmLU/6Bc1Q9ZkRhs4LfuPc+Gd5LMKc4TIrmWFhU4ZJxb69D7OUDQn/eivwpyB3zFinlXID/
+41ZKS5Ejj0Oyb0hELeDqo6Lr6PXJgv/KjlLbpceuuys914bTfywGji/1va8Xzy4z8maMGxPGhOb
mf/DExYeIq+A2fHaRjwYBgo+TW4FEUQotjHfIOPdLRCqi7KDj6gmN856fvJ+9mKJ+eW81MPVznHc
xMAT2QEUVVztdqnKmABNMORFU+Or2/C5UWH2Zfil9Yv7McdUWwTD3u2kALqWgbjOjlWeIoq32A2Y
1u+hcGg3WpzvPCDXL+sL/7srHWSFkbWsE2nGBWc2gi13Ye9g+CMv5tLU0ZHKQ5aNLOlf0Vijh4VY
nhtYDG+LvERbIxsG6KWRLc/c/b9hu/tRHatzgVzTEZeDaybM/ceyYEVp9MtR+lhaeR+ccjzpH5B4
iKPZLA4L7fQkEHXjU9c167Y3RVIOxvpnXeeg4s0EgjjTkHbJrR6vGm/9HSbaF5VChKbh8J3W2cDa
Oe9joJAltqfVOmYhETGBilA7fV9+T6hpVx6sT4X/DTnKBmMkndA8tiRHi7jzwudcjsFDBX1PCdnq
Hwi7o1SerSBRUke6Aj5qTx6qeSAIocPY33XYY/RSmq+kM5rHARXxMC51vau9Wb1LqSjE4lzmQ8/b
q6EnOlYqsaa4LXR4mbGabI2G06wJOoNtj6YDxcyzbVMP6yXDHbmnK6/mG9XAGdxhE5YN6L2jRsGL
6D8tEIbIP+8Og1R4TO74NHY9iRyZBcsXm2X1UaMJ7lws9qeUW31FtCz5HH0eZQmqfnYYI6/a2k74
VA5BTm6uLPej1+dkMEfQ0VUt4Jm1/CURYTbewME1aRmys+7SpG8hJKkmgOw6Md111z7DdYTOSOyw
612Nu/SzDpj/TCcJbO+lVfKzzaeXCkpcmMFuGKbHqsfymfvpY2algozlAXef6+aJZUlzm5vLKzd7
733EfCQXsewj0r3/wFX7ifRQxolrmR5VH978RZGZWXp0MksxfBeUJz6svcWNV+MQ3XpNWG9gvR6H
birfA4CPN0cq6+YDr8aYtLmoN+YQ43BWrxW/xQt520MiPGyBCiA+GaFf2edou9xAejJZ5kZCZ9/8
t0xD84yPfce93YqHvLqvy+SfzJnZ0dzL3aJmFwBQdZGdRHOK8K83tvAPKuQh9ZrmGd3y6GJvV8DP
PmlhDALutvepa6ndEzj5bzHP79pr9p1nPuArY64D2jb9Ccu9CfQM2E5G1BhBl6jpIFNKGXxvu1Ar
EqPFPelxZWST/ckT0clazIRAiTTREyrWuo5QAv629NiBaGPb1n9QoenwM2HDFyyTTt59SiP8HFV6
BPnlkw9BtUNCKVBOUqJA4ppva63DB6cp9GbtjWs9zXvy59jg2PgLMkhe9VIYguPC8jcN/I5K7eeM
pPOfSVd+ouZgPrXj6F2akh38mvvFuWcT/9CT+cUb3k0KQYDMVECTGBnyWx7k/dXIfLQn078Fmflh
9Jy/M8kqG9cFeiOpCyZYi+qgMve9Flg4eou3GAkinKVCneBq9zhXgJq85bGayRqdqyPp0NvarCmQ
z/ssKYuluuL6coBRhfXY1NDLqPrl47zmuzHTD4b2LuAX1ocFBf8JS/CQzShyhZ7tfSrzkueo1vvK
In1aSm1+6aWjgLksYMLN8cfJjRbbBtpIn2cADt1IFlsa6NtSRss2KrCFRCutuZIWMCfEWFehb6mm
sL4CUhx3DFD5DwwDnNdsFt/12j/M9cT7i5Bm1hfvZl3Ub5HVEGAExFrne9D4TaX4oeRd3y0tvQnK
Zn6QQfuXZV6zdRwgkXrlJHVMAu4wwaKPe/5Pbinmrfvyzmy8nW6dgKYLajljt2khEmmsPYlagRP0
AcvExb5GTvbW29ieU+AvMfbfRbEMJxoAna2FZg84VF5tnAFfOGcadpi6LwjudVlnpGQtbomTk1+h
afZnj9XVbgrXbekIDZge2JuprPLb3Ac7HUiQN449loCde+g9dfWDVb8sS/dEbQld53X7pLz8Bd7u
d1ANV78b5piwmG8vL9s4y8RWG9HBKNSJ4y2PDeiYU8cJDFHIvMDrSJyBPtBYaZxOTGnSD1NUF3BB
7xC1dx1ssnj9FaHzDmqESucq/6tuneGju7t+BqIJHSMpJjbIDKxQGgQRNoRyyYGkNgZjVzuHCl91
PXbRgeg0e195fKl1REDhGKqzq7O3qYWjmsPlya7Et8/qdmvKsNz7U/M1KQvfi/cTeuXXoMl6ayBn
XgXhvzvPY4zuG15FKctcF7wotoScL3gS/bgtq0e2fbeUsh/SPpyDZXxN0kAynnaedv2DsJvTLI1H
D7/z1zBPLMrsojqGrmaavdNcWeb5dFVO5YHVsPNKrm0aW14X7nxnOHf9wMMVEL/XNuSWkyfwZxTd
kYQVqEPTLB7clbbkKCArsqjH8Ez240tUcqPx0j6KVdB8hjqNDuEEaIQZmNKdgWVcW1i8W0FH6FF4
o+I32E4ue5QlmHC4Vyeo2V+YKsWmM6bugLCBn/jO1JzZvXCrYsavE5zYZDPx9YzpVyzCODQlw7K8
6/RW9Rb0Vs/4BT6JvaJ/dyvWy0ZAxHXXT0E8BHJ4GsalbaCn1nTrTrmVx4I9GxUjHgKwtAlNaTJW
gJZQic4ZOQaQg4vimP+JKOQ6LANuWt8Uy0V6/lsb1M3dTie/Uzqh2Cv5Nuo10REdNl7QrqXeBbNb
Joudyo10JPxuSoW9Yzsp7xynBIuuy99tVUQfOInGLzuArWQ19FPYI9b4e14vi9h2h4cVOSVEMcll
SCBBbqpD78pxT/oQxXqadhMzXAigr5xyu8p1/aYs29i3hj9vvKUBS0gBf5/5aKakr9jQZSmUvElf
yLQZx5btVD0FL+4IV1r4bv6kC+U8Dw6wddIZszwM7Nd3C7ASn8zSbejuHh+dqW0oCjXCiyJgJTaj
ITjPRr5ssHhXmzIcRyJCZwsyumcAUWpledlk23rtll0V+OKIecN8nUJLXNPKThNpBOUVx1KCcxo+
LYX4K9IsZLViSICciY9hmKPl6JrKPC6m9yKqdt/44T/eHXwOM7/hq6N5s9bseM9jbd9s8mViD7OG
ux2CghWUCVGf3BMVv90AxxgTDHiBZeaHoLOK5zFffzumvGZ6xLtUNeHWUTQXt1nAWlMN1t8WVADw
vOD0p75cdqx905rb/dxXL3M1fzclWWwRQRkvVe9USUaDKa7hLP2wDJuALSNFPbC5Wt+v9Pzo1BBu
Za0W1MEe8WUmFvJhoWuFDNjsw6aMlWk7mOyE+801wsUbZ57hdDHmTvsjJaLskPnDxAuq4dfmig9X
sgcXqfmdeosigBMmiXETiMJdxddAMFCeLh+G7i5RygJIe5NM2slmhe8vJ6OmzMzs2SRM48Q+N2+z
9bTIMDhMQWG+E1+OCd+dLSChzsDaRHpfFsU6ZDGTFiwQrN7KknlBuBgm825hGqt3Z7TyQy0kZHFh
rWfsFOE5xR19KzN3fhZF7ryHFTGGbQOX0Tcp7+V2JSgk7E3EyKwWWygiVtZALBdtrhMP4bo8eEHp
caWr8yelWnkyV1LYoOecXR7ZHIleVBCcoIcf9Jk0Wa15PVEAZB/S0aDHyNBnv3CMvdna1m2RwUPI
FNrW4c5xyjmmxzh9bWr1j2JKY3nFmLApNFuoLsq9fbfaxXZcMjLjS+IbSrNn+W5x7/23Lh37PR05
tpHVm7lPm+0SYd3wZhbuWgncA57QGzGE+kKQ4C7t/HSDJrgpHP7NZsC4XVYuPK4j+BY08wuBBtml
n1MYYiPNjqtNfkPDNYQ6z35bDc56wCrbnaVemKJc79E3rYcyD6rXxgPTWhtixYdGh0dsIsydc4B3
zG+ds+2mnJ7z3Y4zLPNVVGK5KaJUI+6g9t5uMGQW9EzFpdsdRmOFPNQq2HlsVBJLTl8YXuiyQJPL
BQNuTcO62X5YlWMcmsjn2zRLM8YVgCzRp72/L6AzNxXoGwhL/jnbHvDdq2Hh1VhP4OPJ5Fluz1G8
Wk/YWI5z2687VUJBAaBEe/bX6o60PEXiboQZbq1fX821uemIQXgxs60LCcIJ0cVRa+BV8ptx68vx
F480V8fce5KTMdDbY/7mXgYvwwweeDAzi7kzLUWqDBpG0kfGSy2DjLm1zf6mPp8EWS+7OncjFpAd
9gde4e+WGZ2GyX02Pequarx/9NNHW+T2+peE6wcjq9vEXwHfW2f+tuoi3aW6fK7TDNN/lep3v7PL
h8EmmmVTVH0QTzJLfCv/oLOYCAL32cDp5siTMoqzafCbjKron3vLMdrIxihJhKUawo5XHLGB73Rc
65vpwR8sTFRmIE8OXWlr6F3CvFNxVIy4M8flZVmtYbtky2+38/KEm8U/VtfvFDFge2wQuE0xF+SG
DvcaJfogcIOdZ3IxtlOTn5ZgGa9LL/XBGdldizGrz2UUfAS+Tv/aCJw6Xd8sZO3XzK8AEmkJs85a
9t9czS3qbdEJetDxuFiEtWs9rFnMvzAjk3Afu5QiFeZpkTeJY9Btxi7TLDt026L5wzXYwE9KudjN
FCvvnG6xnP46LKba9VO3jOB2JRbTqRxZQy/NlMtvnzg+EnIlsRbxqEaHeGLiI/C3LWtw16KnjGbr
Saz71PEMbgU6BVNfsdj+9YeIWt4CTOGUhqyCtxSmhx/W5PQwEAiaf0BIozBp7U58D0U9n+w+A8Q0
rHxBt7a505f18GvxSNtjBfgJ9QybaUbvJpEdFmkQ5AeGhvPskbzBnJRfeGegtRE2cjG5mrzUQZtB
H4OjlUZp8mUdIpiJXr7ouszJqWeFC/3gkeaRp2YypQSLUXjJ4qamu3A3qiV4jCyuebCf+RmnWcFp
WPjHyLFgDkHUYoPAynE1zmSRfza5V6GorKfVJES2cYL9EvwdXL5Ls6XQwpafEUz5fURSvuGTwCtu
MIw7Yx3smgH/i7/U7T5abDY+qxFt1o4XWpQ3sPgYAPZmrz915D0N1lQc10YqEAGdPUcGyyeWW/jv
eA8Z9Vq+pSmJ3SnoFmxmsLeZwHi96mK/Ap+UQX3qSrc6TSU3PSuz4pHqbNbMzrK10qrYzzYrjkqi
cBdDGiYeSUlWSz1qmT9Zsxn9gfWav/rFIIlp5QAkLgVLwbIWakv6TZbYVKCGhPCk45Mcl0eiQnhv
UImLVdR/WIZOb12l+RZrVWlmOZuuxDU/Qj28cb954yGlJsSCSXXMj5x81yDMXsdwPXYAPzVM9j+I
Xi0fmYdV2Wz5BuV1WRFfL3ksUq97DZc5OFLP8TfTmBerKUTu1k5xUK7gX5WadjwH9FTO3g9o/8oK
bXRuHdsdFywYDdREgCa0kqlg4YkeQ2/9RHWv4ZzqhWe7HBPFOBL3Nq4xf4R4s0rLO4ydSpTfzxu2
1LithHrujOGY9ilroohLM+97JxaTnLakKrhbuQbF3tArBGqrQv9xkHrcyFSOO3/Ksg9UcCoi5q7c
wan5vyND+bxjzPSfsawMTnFp/Da7BSuezXl+B9dF/Vy2Y/WbjVudrAy0XJHraz+Lf1YihNjV/bEa
5W2dsBYf5Ad9Is2P+0bVf0Oebs51EA0jXlv/WNmCxQmZFO0hVdyjh7WN9lz9X2kQpETjzgAqEf7l
/KsAllMi59ct7FZ9LRxvOaO+44Yx++7F9TG93D/BIcjyjdc5bjy02GdMk+rkdnVjjass1FVKVLhB
z4JBjlwcputNFg01BD1AQEAo6HbNpmPvF/hDZPmHRKc3f65PQFHQ7OUhczzUlq7uLq3sfoXshLYl
v2em5aLdkbvERrY1HgOXLHW+C6682bPEx5WKgyd7SBjXWeK1C/UnA/nTIKbqQbRy/RXAiCKQF2ni
ag9LgiwjhpESZ1HIasO18/zCkjF/pgybVByWU08EhYyXflDAz1N0aJWKwA6xEVXChHWsoUVeewbF
RLYp3gIZGcdwgE8ZwqLf8diNA51tcN1Y65edxCWJj8h2Ehzu5Tnz2yFhsP3DYWnv20JzvnctP0zY
oH5EKt0PrXhxQsM/O5IEH78rL01O7YtucubZqv+VrXfx7e7U9Nsf2xqO+AM466XAi56H18HsnSRU
zC8epF5jJCrt8InbX6NPblU3kzZQZNYDUJX6U3ujF49w5ptsrCqc8FwFh8ZUuEii+gEznndOF877
Bi+wK7PnlB/8lPXRZinvK6y+J/oJGg8v7Fq756jqcs5okima4n1oa76s/4u7M2tuW7m28C/CqUY3
gAZeSYKDSIkaLMv2C8qSZczzjF9/PzipxHZyncrTrbovSdU5xwYJAt27917rW0KzfanutpwM66Z2
6vFYlfPOmLriA6dC3Cmj/GB0xG9XdnlfmC1y8ZjpQOi19lZzmNoQiXMKowWHd4PySqmA1i6GQU5I
RcQOE3BEMqY3p5cxWrGiCx6cEv0r5E6Bw7L8nDrGN6MPc75aAimux5CGYdO7lUVDWpwrpcV0uJ5u
rZoJrjOPH7u+f+9G6P8EKPTbNuNIUJaf3HCa2fVpxGJEbe+jZdpOTXTjBSPal8AfWjPa5XSM8XPL
D3WUb4suOddoeWKK+HF5CJfEuWPPL/1F4vVHIL6L0vFSr7iWGGPPJmhaYFM5XAmXAFPt8JSlHeOI
xqDJbaj21A0ZZ7P+wRuc9CZuy0s81Hdh7cS3MakqzEPzNfqtpukxjqjPyPd6HpiVHMPRSOAr4BDX
DVofLHQNTdFCuTfdREuZQLPNFM+fcyYWIS/oiTt0dUfLRI5X0NgVagtlHbX7OvmzmNEcxzZAhxgl
/bc56ThNg+h8TL2lomYd7NlPyolXWAYd9p4SERMO1Alsqf5i0w88my0O9rxz9m1hkTpgnelr4+IG
DYP4t7GeXERGzK0nNIZd6UAlI2nLjfrkro5NBOYJ5L/FEMSAzIjvRU3rtzOX8Fjl5j0gwubcz2xX
kQ18j/hLvBBlK9ydLqzu1TZT6+glzudxXenSIEOIrHvmFQ7jRoIP8pNVZo0PbCg8B7q5MZcCtX9E
fzJ1P7dVt/CpIjZW/G1dGvQ+8mFjk84wcsYlY/mPjmHUfGsl4N5p3nZTfUi67FE7QLGGM/01RPbz
B1XzisdMe02n2gXVJ5MfKF5iis/s1nZJ06rMTxk6so1bPxlYb1ebDbUL9hOb5m/nLKu7bD9Kmqu1
PHRwDxzkzN3kjmjBiZ2Q3vjC63ozig7BZF+j8ZentHXopw0Y04ddjuAs4T0i3divZHeYQBLx+jML
Bn5WdOm8T3PsTDnbWFuxSC89lrNcniqv2MaG+arJWpC8KYnLbHA1ezSwD0iJ8WvEyUh2SWTsajyv
JEd5w7Zw1YnTAO0F4yaC1Mv4mbSinvlgkB0waiynBXPyFRpQxzOTl/FzqQER9Qa8CHRgYkuf9H7g
sHyASTHdRV3gy7Hqj4nNcIiuEvdQiOdlBFtUTsV9aKBgNTHXYWV0o6vs63JXea0iOAKVuex6cXQC
WlEpXcVbc5RfiFJAElKa6Yl3w0ovcZjX9woZw7aLV14SftB9WbKZibZ9nRzbOLA0XhcQjDuDmSjb
tvWMfJPFK44ybOQajQBayC0HGe8QNelnIK/I7eso8zNRLWiexbtbWPM11pXcxhN6N6Ru884y+5CO
tXZelrznBc4Y69FK58h1cMoKCaXmCK4+K04o5ep+BwcjOV4ULg0INVa7vtaM1WeJnDGZfBvWQ6CB
XTgOt8ONv3FsAVxTHpDHerga2xuz0rXvpqtFJe5xv7ZBIulUBulG0Rb75M3mCTA1g+lxl5Q9Byi3
8oCgcXRs0vsyXtfF5H2uvX2EDXAcSLlsVpTzItStBjPvBtRDLbBF9Cf2QdYSqIkRD7dYPfY2ilqv
lI/aNMyHlkMdhxv3MYWlY1jpuM0mmrLY8rbQAnrGeVSs6Lbv+SWMa8U54bMyWw7aHRGXBxzPaG2s
NpZ3wOf4FDSwKqAdGq1X9V1xqmOCmE/ucRhES3bLbMHMFNvejmj8T15crvPfZwbh5zZkhi9NtrVE
ASGIMje8eEb2RMZsfu4Du97ajstRqQenmcB8ooiJaF9k55ATfpkEW5E499AHrxp6wWLEHytjOExt
eHAb5z629KOMc7VZ6PltxdDGu9D0nkJZM62C1uqbCQQVkO7LubBqFE6C3wtYUiS+a5MUsQ2o/ubF
xM/kCzNSBAqRqvNMVGSPjDOKwmTPHLr3wIjS9F5qdSeY89Gj1g9lG26Dud3nVU9DxmTX8wQ/4pjY
YFCoQL1kQ5wXPWhdl/hukMFGB3fgjdwtsl6cDx4Ey10ZtdGpGULxPMVTkuw45tvejovzOtsloEk7
S3nThVPt7W4pH1I3xwLAAX1feGrtYQnWpQHAxHukA4R6+IPmZtmVHeYozqTZbqgtXHBrX9NEYrAt
IZ5tDWu4s1vQU60wrxoR5AYRTrUB8bkrveAprTCidJMi9cSS4UlHYXMboXP0dUza0dQmL6jiol3m
dC8IxzgRqH45QSIKH2asjIXL0CFBzo+s61209W4ZMdxZhjv7qsX8ki8IUh1vqHzXSYytbCtxyE37
A36we8EyBMn3IeGB20aYeaqsvBOTvOq0fF77n/tWm+VpTQnZqlFke5Dzq7WNGLiWbM/neZqanZ6M
uyYF5satxEDJII/5efOIwIxp5uJPdNtxqIV7K1yubhpucUIwGR4WXGSmejSN2actin1BZB/SArUC
1rKnEpYGQ2Lt+WTVBxupalpcnNgb9nAaZnndEpbUdtHBiLzeWBFx0S4q59cckOWu0rO3re0+JFeH
zlrSEaOkqVcxUgNCwm6Co3UuH6knnbPuRc/uUxgXQszsQyZ/vFJDuK9wmO7LIgnhwU1PxUpB6UR9
iN1p8rFQgfeNcBQNIG6pzkJG4ANkybLHGEWAJYZIFVe7jHTs/RxPN9Ql9bmqSuPQpGV34Y5gOSWL
73PYRxLOWuVeipiKr66gn5DNeEzW9GkjwOMgQnhQ/QLEjGGdexe39fvALGEDDWH0hymGITS0cmOz
PvuM3/3WC97yoqemi8JdgWrraAzeuM+HtXIlZHBDfya4eGL8wty1PaLmZPsE4rsz1BqpXYjwOC4O
rfllDO97+rG7BI4PrhzGLUFpiTtkdDjMZYWjiaoFy2//HKvY3i3RbFxTvHxsp0Ud3C+G1fh2wvrQ
oDzfO3pIP1Dp4wOndbzBd+XdN1HcPNRopNnYKYU4fVivYSPGMzhTUEbVBOPZAY/nk+ZqnyynojTy
+uyQmH3P5D9PMCPZ8sxxaLyt0GeqzYS8xWF0rmG0OXVD+sE8P+QYAb+NuV1xfE4C94M9yHvKSEIo
i27AojTFHTNSETIa+TRHzdT5Kbq2bJfNGQFazISZVjAC3Rl8+t3QkMA0q6b4DqYjqr+AxZqNbYYc
+LscaptFDSXXJvJmFK2VbaHhjaLJPLcEXFIfVe1t00VDvO/mVfSR8ZC6m7hU4X0qy+WhktAaN0DD
KcZA6HgQjOqoajeF56CjVTKmkImXHHIJSzSqVZLQK8IV9rzPzQ7+6ltlz93BXiIk6blGsoEJJnu0
oqQ92rjG+sW9hzC3jzTnlbhfvIfeMWFEuIE4Y9a0a9+KiwEqkDWa2NNd5CAG7b2dl07nQMkPVell
12ikHJqH9DJaXvVgDrLfJ1n/taytqwU/bpNYDIlzV9b413LjOAVMqfNSUuuFdM0IGwN9QA+xKxfz
1uziU2iUJfZ8814l03wcypIYaH0tXFrvevgUUdMGXu8rb9rDvjoLfp04qb+WXviSQP4VUdTuaARc
AgeEWJ/5QtLWozb0cY6DMTYHI9337I64/xwV3tRhP2z1ZMcccmaQSljIdwkRaAeqINfHYqLgXtlc
E+3uOjMavsh2xokqYPsso96bEZwYGIGZ7zECvBkmzMg1pB5qc/w0X1sNOA+uSDB8XCDq3o5FkHzt
YFvvornzHJwHQeY3SvTbjuI2QjHSBBczq7pPFGAPyq2xkCIDcY9G2A4HIEzWJskhJmJmTN4JAkt9
GtyPpYL5SD/jCoXivSRYjyHfidjsi0jKPQ/pXQ28rx0hsjXWxSibp6CwX4mnZYsuLM6NDYm9+8jF
+D8lRvWMT8RBiZwtdynhtFhW0gaRbp4cktz2q2Fi00ZeDzG7d6fMJetPMxhQnWq2DZjDr+Q35J+n
jsoOD4mlGC8PFoe87KTGwgZ1VEz3ZWFe+7HpR1wUkX1xRjrPMDTcELTK+pQC9PsIAZ2886nITlEK
TBDPBPUwe6IeuyusGvmcpxAL0yhG61P30VljnmS4YAZ7ZRjyM13WR8Es6EZnvB4cEIxveW/DvYSd
5z3nuFVhRZAPSLhVcpzsAjh6rpZPUSxpezAyfkdAUd5a+Zx8iFHLMpYwjFNBCg8CIvPrYMu3yqP6
deMiucqg+NxnvXXLcWV+EVIGR8TTzcOM9ufQImJ5JULQOPVVXV+FqKx7dPXyDJI5ubTc3CurMrML
fO00sPkl06YYTzpJ01cAV2iBEWZ4E3Blq6fJp+amvxRyie5yY8ZcnQMzcMLEbxrTO5adJ16SSb8m
0dCdh5F2s0OOHenUhXmX2LO3syfrIe/CdDymdaa+hAWkVw2Q+Yn3FQc6QX1e7IgTuuhLmo/fC3s8
LTi1z7MY8LbaQzKDVqyaAQPd9D4WCMDibC5oMmHXxde1s/v5m6GHzm/jqnzw+goxf9rF7Fhm9qCH
mdaicM19UGYeDWti6p6Skr94RHOwzUTZ7qROX1Bq2l/gWabzriLbsO3c/ptmgSNbCv0xR2leL3r8
NKkIT68OsZbyjrw4wzdV8lqGBnOE0XJvnKh9b1fc6pEGVL4vjV4/cQKTvumEw75MuDv4hL4kAyPG
0Yh5bVzsjlU+P5cGtAqP9hBcL/skDbe8ox9knemxsRyv7/6cLJ91hB6T4TGAVFcWT8B52ArazJlx
mzpfot7zLvk65XCBEj7nGVjRJcQusAz8qEWK8kTrkPU7Ht5LR4HWlzlZBSU94KUQcq+gxKEHnBGO
qKCLd4Uylv3YCvT2eZTpY1fatF8mBVgPsVh+VMNgM08Hqj3qRX/m7MHEuHMwh/XnrpbIrKoA25cj
7OBsprV10J2RnmIOsnQ/zOA051D5e8K297WXnG0MNney7Fz6E1W+TUd9gLCjt5WgrWOnABqcJHLv
YQdjlyMR78AbsTCBWoIPMqPkIH+vu3EjVJWUC9lxWVxM8iRcHAQF11ckgGvYNK1eTVOdus+cLzVy
Kd9uInbB0Hwh5zI8KOkh5h3pMrJui/ALPRMKI6cBT8bwfhsaoYfz32kfs9a7Ibqr3BbxdFvq6C1e
qn7LMDK5MAz1tmY6Kj9BLIG1ueC8o3TjHF1yUfwKVcQWw+ObnY0f4Qu/rgEXqOTq/tSScnDsDKsn
tcI292U7f3BMd/44RcYVATb9aO0RViULnJri8wBsfQ3/CfHnrdrh2js5RXFXZNYTEXEtcqa22LED
tsQk9MRrDDZGN8KAiyIQ/lCXj5Jt+gFES3vIDYvAhkgkR2U4gFBclFCwI7LxWRbVA2oDbG10EBHN
rhPYmW6sAFSwCVV6xwTBH8lD+1D/eDiKwn5UiDagi8+LX0ZUalLSgQLKyny8c10soXM77gR4OINI
VztuMJH2Sm9MwMInJJzxkVqbZcdZ3I94sCz2spp2XmnUx3qM3a3nQCRC3Y6DxIDLaDeJfSE7pvDd
EHcBgtuu5yzZqOIN+Yw+xhD0w7zlyFSmt8KIxV3fG+Y2qq2A+yLnQ87es/dgw29Lm4oGVQjH8q5n
vUGBO6k63YVA5XlKOeM6rdhEiVndj7JWV/Bjq1hvZnRvdFP/EdX4eGyGagLHA23Kmoy3ZYjW3pCp
COysrlVbU+vMCfQXb621VvSUBzzp4oABvPvhXft/7c9TxND8wZ/XZ+HX31Do65/4Ownd/csRGO94
6X5Y6dYcz7+F3Uj5l7I1QUSmtEzLxr73D2+eZf0lTZvzvZCWxwjCwtDX/j3sBm+esh3+1BoPCULk
v/LmMYfAeve3FKM11EdLS9k8rSafkQtZ4kcYzk/pT9YYBySz8BCNYZhcB7UK+A2qc9ISSnGgMEIA
NbPv8H70pYQom7n4WlLVkxYSC07gjls7JkNxO71rrDhotzMqqWJHMQ48LpHd8gmkE54PuymxXpiw
gNm3+Md6m042cAXgJQ1q+yygo6Io8tl2Q6sDQL5OSaLIdB96w9bGxpzkGirWlMy4CURGCK68EMmR
ya9DOTZ9hLQdXLpg4bJMtNNg01SVFicNzAnQRcAABf92n4bga3Rao/sei5chz/cYF69S5dfI7j4Z
S4Ah3L2Fm3kBmLvx8hblcLpfR8sAoHwZTn4gcx/39jEosCa05pH/Dsl+Qr5xNq2iepezGYo61d1P
nlCvtvwInJMxq4jkLe76HeL0Lcw2H/vlkQbW17rTd4Ex7go3OVe1xxh1ol4CpWAknb+Y/Mlej2iB
KxJyMm4DR5xpjGkz0MLgfwB26wbXrStGbL0zfwSCTRAZ24pwCN2rTxhF9jMG3871Kpy5Nf1lfMRT
zF5irJyP2jTeQTaGW3PKP8a0mbq0eYid8jVEebNxKvq/Y1acKreGd5mfKnPcuOkHa6n3cW9F6Baj
h3YR+y7LTnY1PJAjveX2fmqcjwmWjNL4HLpqn7QlUiRIpmrEA+3cIvXiJk2IlEtof2oMP7ks53sb
hMPGhQIQAYaO5udBrtrx6BAWkAXinsYBc4MdyjnUPnionaJfiyrW5NSPISoJ8OxoKOW5nJNTPlv3
VuD5q/HKtWK/RG+XyZEpqPPoiOysRxMvwdry8HruXAxSnkR1hrq7WCNDarGimZyV7P2SfCRgcm8S
tT5hmIp7+dyH1RkI6yH0MmSAxhen1LdllUaHtH5jLHm1TRLgKY5ifrVYt/dt2PhTYz8yzPreW6hR
pvajRaVvMVjbuSs7x8h806quNC92LaLOREK6Ratg5Z72Z6lO9KNiLED4uh5dZhQGp78heAxGY5u2
RchYM7v3BpE+RyP67wlzSBZkRycdGJiiQdei8qUwbpwgrj839W3PNGaDfsrGK9V8NPjPpIEUcA76
a15G2ymDJ+JaH7IcU75wkyvJaQeJ9XY2cJEWs8BTKCrQTnVLB3hcQuYcxLpk+d6M47NdQ2vp6xZw
UBTjm2TanumTHRVHkqRuZVBxrkbFJGIXqgVhSWF8mwbmUVTZDVlI02bsnHtdTSeiucEpzWy5AUYF
qksGQS1W3PQO88tJDhyhHfv7lLQ7hhT7gSdEGvlJjCgOs+ZOOmN9TY3Ou1cL0rW2vwwQs5n6bMir
ICA7ekqdRdMgqx7woJxVH4zoIUZxNBjJwdN8d7DrJ3MAh5IGVzbvPDQ2jLzTz7No4OL3GB6tGX++
I9AU9OmWAeYxUtzRjNkyQ7QSRTeewkMRoonigJd51nVEIdFFcidRKk8ZCoQ477EsI+/WdfqUmM5T
3vH8BfLZhuUUpM0hC/jqbnijzZxxCJEFBgBm/G7xmU7L/ZSHd/O03Koyuoh+wtJMp6qWtLG9U0R4
aWtZR+mtliUnR0ox3Oaw1CvKfV7c7xPOGIOJrON2R5PqFcfj1swfKH2KDUNTWqVl9GnOxrMVzFcJ
gtOBoOgBOmlMcXZnNGE2WlIrOTHv5OdJnSOaaAJx5hrRcTdjwRTI2QcIFwLVB+2vV0b2dIBcvpLH
ScNxmlsBQXdK4httmLfCrJFqeTli/fcmdaqXSjUOK3e4lytloFWXQCRfgMvs8jg65fQiamt5wkR5
G1nhFsrDtGkQfqjxBgk/j1NRb60eRrvlbCek8iJT3xe33AN+y3dsa9NxdiiWKJ2m1vWBmLzotNtj
lqZDEI0X3TsnBZ0JyQITgRE+pcl3az33EBj6ptP9Q2nVl3U5AhQDUKMmUsB6NwJvO9j0vpX+NtFy
FgXwiPie9LZhT/obDlZc0LreVOuEdjG+T8Eto4sbCxt87yYXxhIM1svm1Nv87Gq6G0W05ziUXqdg
puGSo9jhXAAq4H5NTQ0tktrK5TGuPuV1Nb3paDpa5ZPbYF7w4nOQCij6Rr4DV4dO1DPz2b3RUzmx
IE4llijsvSx7uhsHDv1lAA+DztCnaOyqF6TBfXEcgflD4B2VR0MxGbH7lC1bi+eYzTd6Jc3HafGy
F6RVGYKwwbbvJ7r87WZR5AUxyGhfmjm3X+eCS2/wQwDHLJK2uNgqYaQIs5W3EY2kjUYfNuoKg/fe
FOcUdrdI0kT38sHc5rnOAJ1kUfvahksPkGMOx5UP3sjSR4dLegSUNwymceWNFyvtktGfJpG+t5bG
LUA/trlgEw5g9LU9X30QM2sKSO0hupSZlb8zCh7ftCJ5/o68UQef3FzTfPbogR5qPMqYMrRR9YfI
xZS91w3DEABMIZr4YmaGiF0PlNR5amf1qXM6viN1EbO0mnnSZp4sAgIJCYHSrschLy9Z3ifxCbmh
057KTqfurVnkNol9S2o+ZABhqH1S5v5b6RguQmMNsGkzM7E1OAQR5HQB0RM7h3HqctKYWGJxW9Ds
CPB+cSpEnCAMy59Q2gWgBzjy72QiOT4zY8Ar2ZvwXRmFmwInLSNHbxcaPWLyPPKYBxQThMS70KSg
2HGrCC0d21YdEwXl/cYyK852Vikyv2YUmtzomQ4Fgin0Ccd27qInsqpge4HSxxDN1AnoHOa0ih5n
G+K5idgxKr8bXbLbc40HtO5WCUAgKESOhIERpEaZ54ATtBqhju4SgxYwRwbs54kz9Ju5YGTjY1Uo
ti3Yp3KLtqTl/cxMRBqswjRXbTLTJaxVx1iOVR905tYDXhjtK8h+LAaSsIMj85Mp8QePOMKtWWJ3
oiG84BDnVRLjfly85btJFn1+HV2B4oAnYs2VUbhCTghGiUnFkG/c0Nmx+ys9d/UclGs/Jq2aqthX
FQ3DozPyVyFChL1G+kjAy+O4RhyeDE+5a9ZG6MmDruyY43pup2jfGAqSgTFPvbMzXBpHG10GxT0P
8lLdoMRBkWtjMLrpSHQzOLaV9JmYU3bVWS1z8kIIXYVniH1mzbqVzQv+xAF498jEF/418NEwcxRL
rkL6rcNqMOlStyuteKJvzPCFdkdAEc+6Irp42nYNzRo+rOizVVyrEZk4sJU3dEmsL02x0iXBeIls
J8RM4FtW4BVWyeCc+6lCnDoaZGmMLSjLnQgi8AmcL3D6APRNcQoN8BY2oWwQ+jDmxj1jxysvz6MC
5p/g4qx2NTzsaa/ckaiSMWqgo1qLGhA7e6r9Mvca37FXBeNIsYH1d+uSFEDoipWYlh9YqHo3yM8i
1Foqoi3pBA46FV3WGvNqtpTf8rYeXntFoxsVcO/QVW4D+xLToHtvazIZ+NMew0Xa/QEIYZrgrSmf
ari0vplHjApEEomn1Fb8SlGW5ceeAB9F+5qSiZHR+GIhn3LpBE2I69sEKn8yApSlT55TEcLq31Wj
GSPgDNtzNlD+obwMiowkiDyOD64FTniW+YIZLCzDz7b+GPKEQM+w+m8dM3z7jvzh/iEdGkVTK0Rp
vnGd0Huz0KBDmUOSfp1nA/x9RGwivkiwy6hpwJNsjKxnoM4Ndp4Aeas3VXb4iCRvBjhGMVZvLsF7
RAfUTakOecC0dzOKQFGZmK44RZhUFuzuOf14FNh6S80EbcVDY034rau+28GovmG2Z75k1JP6IkdC
ofzO0i6yy9nB7m2l0chSKEwrZ2Lrmt+Z39HFV9VAy5TuYkrlvpQOmi6MMtQLds0cCFCefixbnBUb
b0nbNwgXvbPRY8/P19XOgMqrFPxIypHsTsLjyKTkjHXHRVHQ6Sx7VE1d51tayojjytorQZHoJeBp
0h57MEpAVA4yX5tvIL9qdufFtG6GSuE6QdgEgqx203E/V9qNt84QGNNuVGX9ECEPwHDSJ9GX2mm8
b6bBDIiAD5L9NvbsNiOdKZgzG+WMQ7JnIDY9ZsIqHtYW7lfQgugAK17k2O+xVTMQYyHXfhQF5Ql1
UjMQOSUZrE2pbKaN7a5EyhXe3mwYl5Eztgi61CQAmRHeRAZm16p0bNQaDn0y4hwaJOceuYbW32LF
/6vmzf+aWfxLzvEfM5DX6/FU/CM9+e/X/79MN14D4v73Fs/ua/Gef23Sn/OM1z/xtxaPaf9FswY+
igNp0Bae/keesfuX0K6kGQhIxtRsFf9s8dj6L21L/p2UJBFa/N8/Wjy29Rd/nfS81a/n0Rv6r8Lu
6Dz91OBhrXIVV+ZK0tKOxcvKv/+pwYO6kck/UrTtWDZsArWHv6QDgD7HdXn86ab8PUr55+hkAFS/
X8o1wUUR0GyaSrlrsPJPl0pjHSxWj5RaKs5QXA7aHFTsy6SH4hKJsDqMTZ49JxWinioeotOfL69+
7WX9+Kqupp8lnZUyxV3/9fpIDOYgD5duG1tpGN2bMiIaacKysKc7QxiRERPrzC2Yo2QbmgBXmECH
5pNWg34LEx3c041rMLFmM4s1zvoaj4tJtb4PUlLb93JJ8uKg0Xl+r8daJztCxZBc1C63tDGyHLEJ
aRekwxBzR2FfssXlEkY20PU6+sDzA8i2sergFU7B8MKQQj7jkSpuvYEV2x+LLHr+8w0xTZ68f/lF
IJg7yiLaRSlnfTh++kUg/2KlQr65HWOPirun//e1GGx45XNlwz2BbWW9cAYzv2atgxCE4EXSZKoS
LT2biaq/LTkixA3FJALlKINB0NLSeGvNCekSyhmCjdYAKkKv8MpCfs979UajzjYPbFvdh6CTUDsA
hmavdh/V2d5A0z/BTK3KT1PvMqaInWB+tBGBY9Z2o6mnKjUSRJ1Q/N+SfkZKkeo29w2+xXhHhz+6
GzhWyZvWYlx6pbpI0r1AeN2eOEbAmzOSKQfK5VVOv5scCbEiHZEIgKyAKL+L8njSWw9TyleRIaTd
FM6MiqftpXZuORtqY0fB634JTBb9I+OTkbp1AJpEbMykNXwkQu12xdJ3T/gbw/BeAc6RFE9u9FU3
WjowtaSNGRKr17B1oDxLzmrFUvtpt3Jbqhb5/U4sKPWJAouJukrsmCKflh3ijHoZrJ7TMiovazsP
k4ASs4ypugycKvW5DYIWpYnlZI8xemPhIy8qCOLDnk+h4jJ8Psbm5Mk3vrBjnxF2O6ht2JLjB5AN
erwNQsML9ktMcMk+Zj4M/oangpEWCOfsFCiFMJychVb6HZqR4pqYpOki36eJi19mzBTbm9lcpbMG
RKpMj5wk7Bawrh0MbfDaL1YU762OPErmSIxZNnBunFV15QG30KmHZl8URGmjmkiaCpYOpj0jDaZ4
D3RXDLs/P/z/bjFiOOuS5o67j7TPXx/9liFvOgiwVWGpvYMTcVyDjU1LCKoHwdAcLPyFWL/9ADOH
RMM++P7n64PP+/3V8ywNeV54zg/63q/X70wjjDOX4MYqCQu/a0qL4BKM95KkoENpesnlz9cz/81C
79mm+0NwwM5hq18v6OAsLCvT6pGmolzqLEShzVTAJmhK92tfTzjI5AIz1kYINteDOGV1pV7J+SkB
qc80LHPUuvsFC+0Z/nj49wxctnLANv9mczDX1f+fk4Z1dbaE5HRnI05j1KDEr59P5sKb6hrDdm0E
/IXezJCWE4k/ihSHASgc2rFgsY7FkGsM8pM0twqa8r7Mje7Q9kQZ/vmG/etuwV4tbKzYYDi1Wscv
P6+NhdECNlYo0lD30jIbkjGkYb5Owf58nX+zCNvUBxb7kact17Z/W4QJX7FHzOdiDVUa7u2sM1ri
RwbjPbda/W7QiWF6ndigokUTUQsuc8xObTkRsm+zH5E0p808fqrtBcZsT1uSgEbD4shg0NfZ9WWO
Mf/PH/lfn10a1IyF0P5xY6hBfr01rq1tPQTrJx6W6tVUZXsg0Svfx7qInmL0a4c/X89cf/t/Phta
CMt2pSORIEnh8sr89rJibC/70CD9B3WM9RG1G2xUJrBjv2WaonZOPUL1yBn1XAvRzs8tWR4oFdA6
7v/8QX59JihbKFwEgZMudYxAbLXupz/tl9FiV2ZFSMPWco3xIXNdYkCGdP7w56uY/+4yxHWvMz/H
1bwZv15GOSYbI5E+tEkm73FGDEybq86dx7jP5rfeqoJ9R5494pz1IB8WkmYHkBOxsRISIVjCGZ8f
HG27ft1N8vbPn+7XhXO9B8wcqRotKV1Qnd5v60jlJhJ7Ix8OmlVwqm3X8KfMjA5QUp5DQNW+Cw8E
ljsWTNRk7dN/f3UOlK6wHUc4+vd5ZNxgIbVgP6H97EzYYlnJxCaNDYQmUdjulonQAGaIIBbpR/V+
AwjlP8SE/1oz/e37MwJAsKtYt+mU//rjuFpE1Hg8AwNYmWXbVQETry6pEWtVNLqDJEMKMLeD/+cv
/tv6uF7XFhBKpWezSNIV/O3ZU0A1ZVOhaQVVVxIvDETkOQtrKqMBfOotpZr2jRaCkw3dl4bhFJEE
EQPjRjZCVmS1R9BCzM2fP9WvK8GPD6UdvR5dPNuzpPfbok1jVw7KM/otyPOCJEGI0b1AU2Bl1nLO
6YX8h5v/LysBdwHaIh6RHzX8j8n3z2+gGlr45aXqCYL1zO2yAKumgDf3KaIKHzJ+tjEat3vKOY+j
7win0yAb47/bSn98a6SkFiuRx5fHjvrrI4BR18nsuhm2WRXlxxDl1C2ZfykNI7P40Ge6Wfej1741
9d7KW4PcRB0+e10obq3Z9G7avExPSWMVX+3Bdv/DC7KmoP+yVpqC9qyrhEnDziR0ev3JflqjsjKk
jG2yEWdgitm2QF8YQmNryA1BgJy+xXbSO1tJ6OU1kRNdPbhLkvmIsHvcikVX1zSAw94l59RyEWGR
Jv2lqTLEtF1tWMXO9iB8I8ifsQVREWT9f3ikLPFrpfLj9prmqmHgmziecH970vGgIx31HMLXq/E+
rAGxxcbUIvsXWb+hxkc5j/ATJXS3Ehfv7D73YVniZjYObpRO6Ra9YHou0eWSjsY5FFKvYrawUQsU
h42Zdc5bjmKLaU2E8HYH5lOR2pSa0Scngn/hI6qbDv/D3pnsRo5k2/Zf7pwJmrEH7r0Db9WHFIoI
STEhopHYk2bsya9/i5GFV3KXSo4cPuCNKguJFJ2k0Zpz9l4beGy+5/OacdEGD2lkRlceCxORbuQh
Ykc0E+82zlmtV+ytuxcnDuJH2xipGZUwOuYtrANsFwUkYbh3o5p+YUKHYkuBW55Tniqo/xVQYSjm
g26pS5dqmO8Dh7D1YH4Cte8Dr4/dXq9apPTwx4A/4ZIPRO9tzDZMPkljQFnfKCHPTQr1DfYuqcCW
BDQ2acAr536o8K2suwFm0Kq2l3dcTlMPqsZzF9z4WEBCKLHTNRfTNLY7wg9EvmGP7r/42jAmkPqu
/uaKLhhWmtPhSGR6BpCDUnn9LMPYK9aWUzjzRuVGckHfhi17hEUdg1DXfhkdq3rMSRh69iNLz3hQ
i9LZOE2dPseCc8Y5H5dNG6yZIFsCMx1+sjdManSLTfnFtJEYEQ2Lj/TMQhIA4t8kMXKX+jJE6VGJ
6VPZ5eIZWe340xdxfMMJvLe+gIVJHhLPmzhnJI19jWKK/lpdwSdFPVhVAztepBzrwuhQBIZtARZT
jiap5q6H8HOlImbK1aBmfhnrDylBubKSRxSJAb4xUomJ8SZwCIUECk69GWUc7AFTgzmpiN3cjKKc
SPcQjkWie47nEd4CegOglNnvqcvmb3bIrA0t0AnPKSUKWnwDQJ11pqYeL7djkAEr8yb95iNi+ZH2
0BXIETPNJ8nm9zdnFZKLO9wWLy6cqMc4i1tCP8xRjOdTPjmwsKHQfKmNTIOPhFuJHCe4M3LcJxva
+SlxkWmkcIDzzBFyDcFIgWIeb6DCIBUl63vyzrkv79eiw6d0W9DuXMnKti6czHdDvOJy8fkx99Zb
qZyov4zsnjOo4TbAT5qR5hOEMkG0F7w3N9zgOs2ABzgJUcttNo7nKVoyZ5VjleQ2Ot9MLiw3qwmu
6jMcJwA5bWBNYczZl9Qt/cMtMqJYAOajMKHsgA5+pEou1gjV9Iudj/EPv7IQRhKhRNNvSjAi436F
CL2KsJMjtqRZlm0zvOP+xVS7dr7WWWaQfSrpUGYxaYSrlt3EzxAkxLgiuYJUIO4cDlw3OZHYZ/HE
9q6zTIeSjxppAbWoP+kezBYFApRKuFD3tmqWNpvjEPGFbsVuNh2+fdIDGsbJKjOayNoR/0dCydxW
8pGqwJDCxQ2tm4wvj4Y0bOfiTLo9neS6RaJOwpEZyo2NZfJL0CFApiOTBTcECDT+hsO6iUiej5to
a7guV9qosoYgJrwHoMFsnz9YRPIxSny0TCgb4XwSveJ+G/Bn9xu37ahH5SjrH21C4mgjGeQrnIPH
9L6rqjUWx0olftHjVXdGr+kxdsbkuXsjIU50K6ewvCR/CP8ZNR6q7m6d0ADy0SutQOoET9Kw/Jc2
CMLHwinnL1VBQD3PdVw+OytovkzTLPndeHYW5gJgjpWTRCyRjecbT8JZ+FOtBaSHtCHHAn6JRGxH
wqzToqwU8rqNIHZuXQJPfCwsJHsNqtdUKhRgGYCdI1Eytd/gKOMUGa9k1g33amJ5AVcpmmlrTynC
SCmdmgEy98VVkggHdqDfUiPnvs1LZAjzLcag/N5EJDKtVI7nAPd17VArgpRZYRsmMXvdocgbEQQo
Oq5t2cfrZnTFjapSa1w8/tEZEYqM/LJJo9+OsCPSXbLRvEgYEQRI5rWwrwWYKnJx2yLo1h5HPWPn
ty7buSYnQjXKmvnOGGT5DJwpfeAv2C+NESIRSUddPvlFPeAxmUnvRAlCEAVrHD0ykvpsTE+0oGhZ
xSZMVZLOks8C3ixZd4GDCQFqWvnJl6pd4sZhqa3NOnDJsdHTN+AsPRIG6Y8PfV6N6gJNX6fP7AZZ
9Rb4IDw+OKTC3zRqyvOzUcwuRR8MKx3d/2F+YeYUN0EaUibQjT9EAIuXXIw5tVpAx8rETz6MHvqR
WkOfWJkVYns02mQfopWPVCY/dQMd1qs4dpvbPAZ/RHuscpFaIM+mPVOPAMRVqYrv5Tx7yNtCk0rX
uq4ydoG9qO1pn+iosK4F9u8FmFWlDqZW2zO2lqSpuJ5ix1+yRhUxMJXZ9e3aViJm3hAxmDTbd61N
Ebj9XVY53Q4loPsNJbjxea7oK5/PeQGncWxYCWNC+xbuVNd1eyDy25xAxys6mCo5s8NMwy8nJgvD
TIlrNmL3pMnfIPH1uchz9SD0cFv39BTZ01wgo6XB9vF2/J1DAqfkZdtHJXaRlR4dlPWIsigfgdaB
JiFayCfiQ00FqslOifa36el7OyE5mwj6rD6n8GP+YuKLfi9VyYfehHR86geZ1tvtqGUhHEWtastl
b3e4HUXNBKYwo4kWBMxpF71Jq+1sHCrrB1oKiqMBGV/o9iRuWQ8hE9rHOtP+WgxJ+q0wLRyrgy/6
u6CsTCACkUlJk8/A9VeUTf7Q40X87Eg3Lsj0aWmoBbFfT5zCZD8tl5zYLKLY+o1oDMc+RH3Q9LKT
jCZiXvOfukbSfzGXgQYvhr7grENmxhQrDLp3fT+F9whZMa4O1RR9CRksPxozHC3wap31QiHVfMrn
yE4IStNd8Qdnh0kcqNa4iWe7jdd26AcZanc262e4oJBluVHhfs2TEW9zHFr1E74u+x4kNRqPouwJ
hSnBH+5xHkt2R22LQdum/m1cWqTAzBsn6jD7uG4WrfJxyl6SJtXuYvnBXzGwGjsb27LxDjfQ4IAk
MbH7fT3/wI2SYp/C+lqtvCYwjY2024jKLDujAiecl058pTWbH3YOSKBKSKsob6pwm0edfuiCGjxd
53jKWhctZdN12QT5d7QhEV+iU+UYUZ1e7H2vyV6gc4Y23pfe3rVsufiQAanGK4trK6I2M9gyOD/a
T8G8uO4p3eRoCQ1s1RoBCHkaGVbmFUdNdc3uzhEIj4zMWA1BXAWrj7+Wtyclh16QKzyKbtJ7U3Hs
KgM4REiWbybos0eoDjnHz+zxlGdcUpott+SbmWh3U/PGJUXxRDHpnbOzRQHB5OBMm8+2li/n1UFN
gGwHRmQ06xrT480ch2oPG9KGPdTh+iT09kRB823hwrE4rHM09BaxuXf0Japx9oesYQGjj42eVoGU
4MA+7nyWxK80uwf2HmF+98+fsU9jCeOpGTi2ODqN0t0gwhUCPsq4RF3lAZj3tDH7izlBs0mCbndu
xF34NeuV3EJEEP/8nhePNbBuuisB09DhMzZg+HA6R0DSVFi4G4gj22AYevSp2I0IlFZrhInm+cf3
bL0zsKjnyj9FEZ/4nKNZOLN7D25q36ytvOl/lwwBey36mml4SMCY71oDZyNkJKRi+9IdoRSHQTz9
iEkYtNaaTQaoJxJrSizgc7TTwsFfRWRbdx1I9ENr6dXse23oke0uU8J4Mq2GnZcERjRPJMFGcWrj
I8umbVYF1nXggMjFsYt3FRxMTTix0/QVkubSH0n/LOwccZAso41P53VcN3oiIC2iAdbscVk1dJNM
A9WtmRAigSIttE58hm+rnY5nSdOliYahgRL44Tui3u0VJFcMKPkK+QLbILLWVoOM6MR1lr/zuohM
6cijaEgcBnV9k/rd4XUMrtySMNDBkRS41tgvsVMVmBNgq96F9sD0xEaRiFBZD6fu8e237rLY4seg
lO272DIOrz0j6XLcERGiK2OxD5xxQPmV+mtFiPCFkQbDiSLKO9ezkQ/YlGhtadrHzQuzr6vZrouW
QJZgvlkSzbE7lWP4qeWLT7AVT4lx4vG+fY30sQKesEUHx3WX+KnX05nXER/gqZZesovBNW59OuqM
Z8SsH39dbz8uCgNgGi0WRuQKf+pfr6fNrmoawuvwt07IXPnmUwjkHCkiURuPXcEZ2mGrd07prt9a
hZHefnz5t8UpDmmUH6nDskHh5HF4myaatdnsERH0Y+vvug43vujUuC5Ms3r8+FLvvESY0QGNAFYp
6VhHc6cJ9yxnWuZOvXm6j7tIhqsKu8YWyyB5G3HWfPvnF8QCtLw8ui2ITA7vjS/RNOpqgQdj0Nwh
UirOCEgovmjPxXboDumJ68llyTn8JIGEuJK2Cm0Ovr+jT7IqJ7dxTcZMXbBtxxdSWu2KaaDcaGLJ
9qIhy2ufDd30RUHdwZKsAxs7Qoqn3/E0/Cc3S2O1C3K3u4kpGQK3IveyXqPW7j6nreGgMVTQlFdT
FShzM0SNOFWXf2c4OsHSwmWm8AL/eNgXXdyIyaJ0gbxyuqi7MQNTj7FFagdWmudE0cU4GBbmnBSX
hhxn58T38HZZZ1KzEXE4S12cSe7wpUUUa7oSMO3aa0JYz35h7UdzUi9tiOLeaqMR2jaqgo9Hyjsf
OzOpNB0LSYgjj+dsFQA4bWoSc0Y83CsCQSnmxOl8otX03lUQDNFs5Ftfyu1Ht1Z5rcAk267xz8x3
NTskkAae+jsS8D92npe/cjQIXdt2gXiyC3foYxxepWbj15kNYfJjjfxf/MFJpRYH6hKXsirxGHz8
7N6ZQTy2B45kvEjJqDm8HjgN0xlqn7OtLJ3LAOjdA8BlvDHAM0+teeKd45cXWJ5HI9FiCZJH0xVz
hkdJAkgXh//vFGLrS9yclJA5a5wnCtWzBVboluop5eZWg21LYnnTlwUAMNPFbx71eW2eeADvNHHQ
XbjMbJzokB458vAJ9HMd6CQbYTlERviJSDl15k9p9a0VauroRAzu1ldhYa5Aj6VPDPCSkwr2rI/f
w3uHZdo4tNTYdyB58Y42HmUbWTHkTo6mnbYJm6bl+bUhev5ek/fn0UhqjCcvgyNOvWIcn/26DwjI
SGLxi3MBavkq8/1o+/GPeudr9mn7iqXJJ3lER4+m6Ru/8Cxk5IMR/ijtaDq3UG1emP04b4OEk+GA
LOHEg3i7MVrkIDRaqH7RV7OPDiJ+bvj5GMX4wMsZt04Y5Rthg8aksqrXHuvcdsb6fxVDh/31j+8W
eytbBotjCb/g6NOLRtabNIAQN1SZeRvTAf1kSNwXER2oMzJy25/o86sfH19Uvn3GyAA9wZ36yxp+
PK1USREtFSamFbeqweo6nWxv2LMBHmrYO4BoytqOWGAd0O7AgDB2QIcBKFxBMGsf4CKkPQV/Oy7X
E6ZNkoQim1wW2+/ycUVteEgpBipxgzJsuusy336OW4ep2RIhNZnIGbEMarsggI/dvLuPh0RiQIua
6bqYw+bEHuLtZIMIgQ2LiVaFT/24/GLkxJNUPpU3MgphsNsAddk0YvYJk+r84+f65lJ/jtLICWXg
IUpdxKyvN4BZmALqrXxk4LL9Mmtj3MPrx7UTx84/HbDsUCgloUAwaTr4xx9J4hdEHAxUuaiHJ5tB
6PAcZ3C5Ng0BYbURIaQv1Xy2ZNnsPr7Ht9IMBqsvFsGWYzk2v+HwJkN4AE6I6QmPU27eI7DGlTBR
Ta5x5J7N0+ze5iUiPWOmEUYbwrppsLbeiVgTBN1GHuQ53dw01TJ9fPzL3qyVLr+MyjPf8KINdo/W
SjMoLHIUxLyG3hNex37nXqIKty4+vor8c2A/WC05vaBYXiTDHtVz+2j1crJOFrqScE/xXvrERZM6
vW49lcstRjH/EVF99WiOziKcckaSsMIyHWg0WhUxdviW4acONPlynIKsySugTvX3YMyWsPVqFNu4
HEofE+hMxMuQmea9Yej+U+E3rQa6YKYRGfGTxsEswaFQNlxsPYKYjvjcHrQEb15F7WIdpo2COnK2
4u3YFLreib7zr0kSCkmm9KgRkx0fU1Cc7MQk7hUfGxnQc0OxEKrhUyMEykxZ1CiObK8gls/tKELi
9VPelyrOyYOqY3JWiOpest6Gumv6hZRvNudD5hIU4xIDO52rwMBBSzCKb+DqsLrmrKOp6H0u/Imo
sDliQLxYenC+BnrsfzukRJdncVGkkFM8SyEFrGvsfsw/ytpxKKfdVCMbBo7R9wS7QVj+Th+mCVa9
ERVsm7uRqjaAEw10GjAi8NUiRI/sGdGz40WEPTUmsFIam9r+lWhbVtjGdPeUVaH9QrtWXs6jRNBp
1JkKti6xUSV41by8pn0i0os5zfBbuOijUNlYUXtP2wxqnckJFjXB9If4iwalW5nulFsoORtOfl7i
sicfBwuGWmOr+r50wJTBp0YbvHH6FqXp0Jbzt1KV5le/ifUTrVACwyCO4wCmJQK8Dh2oDjddM6hP
5F4MvyDIjCZcsXr63s7hgqfUqvhqdJqQrzhbSASxm1k4rjitFuRZSDNEpzbAnhzQ4BJVMosMWLCM
yjMTjVB9Rl3Ez3eZVmDH7XTxonrGSFgR4u3FAZJNmALRlMgXmGB1sw5r+Oec/pjhgEcbPqw0U9Qw
hxerVjDI6hrdHKRcUGR0C4siGyL8OeUitCgqQ53rVpHigsZsmJDydJ2NG780cWuEkWftiUsbfypa
pdYViPRgZ5IcaW+7qdYpITouGTxpYtePNZPcbeXGfkWGm+6u0QSVD2kMdLijtV1tm3zEntSB3QEZ
JOvgc0Ayz5c0GAmmxHQc/sRsr342cz8A80EJ/FiwVcO/rcWMtB35JzqaBCDMSvvacTY+/bp4RTCH
sakFVV+0oIb8CodCgVOa9S/ONt15kVkWHrECxNkmBurzi5009uGmJ2eitOeStrlj82D6BuoI4CHP
17uYViqveDKqHHYkjchV4CNYxhzHF7mKCx38dipXP+Yz1W7C5CwbGYgU6lJABXuehj5iKnDjnu+5
cWP84B0ksFWflPCk2PMDvbYQLQEw9p3e3EGid5LLnL3nDScbbMa1UaGd40wQyRNL1NvpeOl1SCSk
LkoWcmoO14mkBUOTDGzysYj1iwUUS4Oh5lPL0ZutGxUlTCIBRSV0mMjCDi/ThmGF6AE8XN0N9Bxr
hst3DI/EwoWGf8FYam5l7uPis9W0z+NKP9GoZ8yQWgZFCt3WDOLzbJxQm8DZSPe0YZ+gLRpfK15D
fWKJem/x9MgUx3Di0xB6U19oKCn2tEZNPO62V+4iWXpfS9enX5EiULqka5aS9OCO42fmnfCzpjd7
DqE4uRvKKOsuF9GQS4dC1A90QQi3/Xhte2f/wvnd9Bx+nQhY5g+fJVvQvMS2AVGiSK2f7cLhqOyy
eaqq+MQO9O0BiNfGfhdlMaFai1zr8FJIEKocSCVUP3qlhA8jq2fT6afPFHzcT90Y6H3VTf6aZlF0
HSdjddnTHv2n515+BBVx6tPsZASCscMfgefQYs1EKEbZ1dgPE8R+X49PltPaNz39whMnmzfH7OVy
HHvpswhG7PE9jz0FVt+jzNvHvXUTmUXxc7TnDPjTYj4KkvDUt/GmuMQFOWTjm2G7toByDu8P6j/i
5ZHSnAuy5QzRrPpSCfBJOcQsyPNBexYGoXdGFIv/uaEbtVWI4E9VZ967aw647JakDHjIR/tFsmin
AZoHnqew7p+sevZ+OGn6jDKb3Nc5FA//dAxzz+zKKC3YEmnK0T37Is+8jI3gmtJCc57DJ0V8Vrhn
HjyLE1d6586EgA2KEJPjm/SWz+lVHTYMJiO2abmuqWUkyTpB+DGS2WBDVh8CrwMz2DdPVB3yaG+n
DvVnQt+SqzkMWdn5sO3PZLx2D4mRyvuW2Kd2hSVk7va9o8RX1xAhBIzEuVminu5MJIoAM5wCg5FV
1ZQDjFmZP2Eo2pgu0eftc4qIX0sVxD+IAYlQNnFKvhz6Mriek96Pd9LuAeVMbVrcEowGCsTFKept
lNDzfnSCPNmkOaE3W12n5Y/JE3GyLQxL/XQIOAJMOw42xzUbdUlrQEeDslGYcj2QAeHsPSvqX6iq
kwooGyhc63YI6ugaeNmo7/oiRkNJgkpS7XysrHqtcfudKhq89yoYXy6HWsnLOD6U0FRpXcfSnIfG
HIK/K6/Ggrsz+gEZE+qI8sRM+c71mDIo2XLMo732p//16tX7VpAQP1yxfwkAkfJgQgNRkwf+jqTS
fEMOinlqxnw7OePToUnqc4MBzMyjyQpjlWMIviQkt/N8M7KerSJlVTeoTJofVRtnu7hqBIEJYtpR
EKu3ghM1riL3UQXmdIbmy9/2Kam7KXEy9Ymp7d0fxzoPpouztu8flTEMPRCsaHMm0mJMHqyYln/a
9h71K9edT5yy3xQvOH75Jp82Gg+6xsfegLYrhtiwPK4VgBdNtNZXqpvNSxSaJLcC8N6HVTyduEH5
3hvnnG3RzWSb4flH80pXpUS8O9xhHwd4lsBRuuFlmbmxvVO2JMuha6BJ7Lwhlw+xNvA3EhRhrgQA
C4B3MCBIqSqxSoCDpJwFh4XQF+WHVk6LM9UPyJvae8LB4IrVZACNu7nQ/if+pu1tqcp1257ocBL/
VFq9IKul+9kZfeuf2LO9LQhyrJdS+PiybNfiVR5OaT0f7kiuo1j7bld/S6hHQXWyiTVfyCPbKCRr
GxmBsY6IzF7HOQ52JH5gnkLIFle1Duqzj+fYdzaR/B4fiBsnbtM8tpvUQoUBwmMUTqXKEjaxdJ5W
NMWiE6d6HMNHJXBO8tDdcBwzefC/R19XjUE0UM0wrM1oSs46YVZEnyEyvZu8Et88YB+W0QGKyg9w
D6TJCJZU4CVdAVttpG69ykMrPgfJ6+A3r9zis8nWwrvQNrtvjuSNgPrtTeMddaPxIckNE8RVMgAE
tsHFJCjVYzCXIe3TyyzKZpukK7f6zblXPGdy9DiKm075GY9teuVNQXyb5chwV65B5MrOJ0tVsH8M
9YOYFYL3zEMDtkZE5L4Ajcvn3QQEhk9Dps6pluef6vlBMQRFHE1WVnfK+TZW7sMBE7UedIlEkdwT
B6SAuZj8F0acNSCImXtUe554oDQnP8NYDNrNwm4vLohkd1/SXIKu7u0yugsBF9g7Eiyq7soIx+JH
OWFV3ijSvJDh8uu7rddAJrj3vFR7W1bUpP7b0fD/jfv/JZZ38p+d+xfPdfM8vfbt//kP/jbuG/Iv
U0I+NE2XtQdY+7J7+xvOyL+iIUuNHiOURNBtyX/DGYO/aOpg38JtST+O7fX/de7bwV/45jAUejRk
kDzQPP7f/z7oUzVH//+1nf7P6Pr36KOoy+zPJZAP0UFlTVgm7VfLcBp2WYJgaDn28QP/IH8l8VkV
6Zn2wEyRY+5/QjncnaGtnwO2P8IHlS8oopnDMP5uskE/ceqLwQMa2RdAj0W9UtAZH2oEmusU9PAT
fQDvligi+dhQcX0ZtPHDJsDh15+H/o/G3/9zSAgObf95YJ3X+Y/y9/PrkeXyH/xrYDl/LWd1Tuw0
XlxkQjZj5F8DS5h/AcdlhRXY/GiPLQt8WVEG/Z//cpy/2P8g4vKX/T3OwH+PLEf8hc5jITksIpM/
g+5oJH00sg5Xe4fj0iLlkOgrEFrQhOInvB5YAJ6aBiWMYrMqn1zhzLtAVXKbzoWxd0qv2Lx6Mrd/
j9jXA/nIAfv39fjlC5UBSSKHtcPrZdKfSfHieg20Z2IXQ6wuSkZy1yN42rVgXPbINJEuWtD6kQg7
jxwoALy3dnWumnK6aIeRVApFIFbeiY3RSXDvOR33E/tenu+rTvGf3+kgVaDVDhIVUf/RBxdAv53L
NEfG6NXfNanRF7GlA1g3Wp9Ykd++AcoQlI5MXjTm4z/7sVeftugaYc4N+5w+iPV+GEd3T6Yuad+p
X333RrTzH7+Cw13lcmceDdBFTsPoouV+9MZBRyZUuyuoxxkVQZjd9prSXEIOSDZdd0NZk7ph+Cfe
+zs3ScuIqwlBM44y1uFrz9O8QPCe1OvS8ow1hIyFgAAEqiZg/MyqjJeP73FBphy9PsYWAXd8WEyd
KLEOr4dlNmLtzHDvziWOoCbBsYoQGq12Rbn6MaWWwFmvE8a95SkRENRZu/c6953fHvMhcc2WYssd
TTWhkS58CYA8RqfSNfcwY+RKbfdLLnrrVzyU5nedOCWoDDn79wQRCH328c289+wYIBZVRlRIf3vo
Xg2QOgFs68RKr0fyoq/Kus72RTPOV0WUVduyk+724+u9HfpUGNmtLQOE2tWfrfOr6zlppTC+0mNz
zERfGlXoncs8Nbe1Bjrx8aWW1/B6WUOiShEDc61Da3Zhkxy+Jijoo49FUmFaTK0VpaT0jD57eeIq
4nDPy5BniqV7yPFhsd6jTj28DI1eQ+Y1l8HlOW5TRQqSIOTk59hbAuEkXjQH+MSmjJ156+RVu+8U
ObRINN2/kdcH6/rr6e/Nt4fqkaFFx5TD9IKnOfwhkefW4FoLYmt6at5+zwDFTOtc5mNNQzpBbW5F
gThxjFw+6IOHzEXpFYKdXoo3QBcOL+oNNeYZyt/rMrfStcXXvwq1IdfIwilFglLe9yao0TxRJz0K
7zx4JENMog4HcazcR/eLwGbJEeZ+Y9vyVlgqidtKY1jpRiGvaoPjzoBu5iZ1a3nZ9Ujp/dSLiBCV
p8zL7z14xpjJTM4OilrG4TMQXYgOt0rVOitI7yCo9KpA/rKKGwKwoygwiPr1Tx3p3j73Rf9J25S5
3WRxZ3f6eml1S/ZxpcZICHda7ade6vXcmg7+SRD9ofcntMFCe9BH5Yk3/s6AdziqsJo7vHskd0cD
voVLqofYrdaV66XroKjVZdth3LfKKPkGZSzboJQrF4xfvE3cGh5eB4qtq2W0//gDfzOX+PwQ+m6o
0VEJ0Es+fAZj6mdFXdC6WgplKzI8RtqWoHvTgTbEx5d6M5dwKUu4aAQAmaO1P1rX8kH3snW8ap2V
EHs0lLctkrZT5ZG3V2EU8TkhIENoxYp9eEPYQmKbAmCJhcGs94S8JZ9H2Dabj+/l7WNzmbEWTAgS
TWEe78paMYzQLppyDbfcpxBTZHty94Dm9KU8Mdu//TJYU5yAEhNiEDzuR19GmOo+7iwuZdQxFIVB
2cauTXx3W6R4soIZIvw6xw58Qu/39uNgQVtAAgIpI3W0ZdF7tcgkusb9K7HbNB7hQ9OCmhnzsLzq
xUD9qJXmqoCCv3LbU7Nh8EcycjAfciTjnMfagzNimRsPLz07bmsRaZ6tObM3F2GULqnFCApuk8TE
XIdDJKElY5IyBPk0OnexJT/2NMkvK4KReAd2YaU39kS0AgjelMRb2y/JEpKGm6DvjtwJzrfLpkNj
SXq2AGg+6s4GRx3ZUXwdN0XU0EyWdrNX5JFd4FpNieidRPmN76/FduZAv4Iw6/sk9NJau6ZBWjVb
D1fKhbLq6I68FXrDDfF5pJX5MRxl7L/o9/ypSj+P3bykOPTmD+1zNKScldfUs4M6IZJ1aoLPLeny
coubkfALnPEc/nrC7PzVaLf6W5CUcLLAl9OXFVVC7AnrCeWXGhAjnfpQO2d2p4xfYTI639ix40Jn
K0XPVs3NbdY1TrXWXuLBxDXtO1CqA3hVjFxnDfsMyJpjkdNiAylFRJCp0TXU/le7DrwZH3GEY8Ky
RgPfQghJd+zQ9W6GITR/DZaWT3YxGPmtlvHi35+aESlGBQgXwtGIfqMIZwKyIriZzOlubUJEp1OE
hVk4Aiwytni9FSrWJF2oIb72Sk9+rQFHwL1Peqr5ZHYJalOlhZFimgZsiFPuwP6XxG2t5j6LvSWd
z6de1ivDI7kxS+qtndJeWAWN130dpOJwEJOCotD+JPZTA+YnIhfEnEhBaFRP/m7T198LLA/NOomq
huPLCH8g7uG77qi0UeRKpGA1mmOtbhQATp6EhLC6ZiYnsTUqZ9veNdjEhl0Kezahe+5FOfZsC2mG
IdwEYD271W9wRfvF35GmxcaFSgvoEwce/2yb5UOg1Dxs6qA2nnLYYmDgxgjLvVV2NOYI6LKu2gK7
I3E+6fgAgWSJ6/PxuyF8MocnKLKMojpIxx+ewiG2gq+ub2OnmVyFw1X5wLR8XMM729bzzRTTMN+a
LeX4TdqN+T7uiMFe67ADq91Dj+427hSFZy6JA+6uSwEMr5Wjwbhi6Bf0soMo2WZ9i0YmDAE9b7s4
Ga6TIc9eQBFpggtFnz+QpzjcurPZFWyPgU3Dac+iG4kyK1tPjOthF+FCRRxCcvknVUjrq0lRvdti
+FbncWFBfosadEEFFeF+F1DsTDdD67k/h7InDZt+FzG1qhTOCvg3AzdCANRgdS+T317fiSURKSYf
Zub93IuhguBmEpcZbf08xsIfQ4vGoUev9byLZiCCkH2dknA2H5sNYGYT8ikMtnXbKugK8zSIl4n0
LnNdWz0gwBYGULCZvbmutk5muchXHWFcYrgQ5QaONRnXY2nOyPDixCFIvi/54mNgn1euk8Gq70mP
bjaG7Y75ui1y7PZdZBrtpiCWDRu+YwyELhm5Q6xtq6afqeXghqkNndy2xoLfb5HitOTkFDCMXb9y
H6XRZzU8xLwuNyWAw62XazKykh7xRic6fmxI8+DLkip8VwwcI/a9IghuPajiTOGn+Lx82/benUrt
rpml+ifDVsFDM/NBrUQElmLVuUZEuChs5yXxsAieAzqIMwdFIg/xvDoR1PhJQsOONZ7CYZAUEJoo
qu4TEnGWZIiqMhiusrmidOyQO96ZOWoXt3bvmnJgZiB8PsOI18TVV7JHMjQwpun8Jsi0/d5yLq72
Q9847XnI570RkYmisSX1EYIAVW1ivMFTfXbLpFTrqC1HnM19WlKK82ERr6m0mf153OjwU2Yn0M97
RdITYIPY1CuCP5mqRTyke6pqFiXiPLIeJC3VL2oi1mDvTLL7TnNakwrXDqQ1i8GwCVuspAu1v3Dq
bSGJqF4h39XX7VSDbiznJiNkNQ6u+SrV97ifql8u0KYB/EaFRE4J2jRI54r+kqa8MV1SHYg/mb7O
s61JqV9CqIic35De6pSwZyW/d1kdI2JqAvUpbbWFwKZc9GTCEOa16HBKgjomK3LXu05j4cuxR/+F
1zmUnwlQd4BBAdNpCWaCRM2giuTvFI0xeAzGzQYwiPe1MYz8+xx75kw6koDgMuZDZ15UVMIIa2iX
hlpbpMMj58AsZDWZHdKXazAspfKK6izsEyAvCbipHDOlBbKfXsx4pYgBLMhaCJ1fvU+09jac+BhW
dAYgLCRK9j7e4pFTetEXSDP9oqL9T/ogmikcFMa57qsJ45seSbbQogJHSVwgws0wncur1B0ac0up
DAiC9kgYILd5jslQJhLV2Eu7yj7pDCr/RoNJMKjjh+HXiRpMsx4hdKfwi638gQWsZRYeHLVVlEMw
lqtw/gkNvom3jNDpvuhMzdMo4OyvJtETEje7FUEGuoKRsiEuO6j5t26FWbnINBrGtgCpOJVecg7S
30VNU2TeT98LM3JKxaDwItsDU7yI65mUECXlFSoyWa+bfLkF6iP1N23TRSStziO7LIlD1G+BMfFR
RnTcVm1TzY+WOyu+JxtGJtotz3op+pC8LhkrnLr4tJlaOyMvn/D8Gek6yyv/lwiiOL7CAq2+96LT
BZPjZH+2QWXmqzaxUnAMJuZDGfbil6c989kFZrLxTDZTSLv68CXq4W+uyDpU2c6t5+q25lQN6t2y
lLMZiiy8SvzO+m3NQ7vNIVB+L8B4fApjtDRQoq36Ns8MeQ1QLa1Z9vInzzXGWz8xUHE7YPBpEAGC
2QZ9me1oELPImFa8owVWnSdVKleBV6EM0lYJUjoiIO+5Usn85Dix/cWo7OFSemgrqZc2NfnpJE8/
DQ3RBmsdF92mCFHKXdtWaTdn6ewMD8P8f9g7j+3KkS47v4vGjVrwZgrgOnqfzJxgJdPAm4AN4I30
HHoxfWBJq5OXbF6lhlqa9KD/qgIvEAicOGfvb2ucOrlx6mXNeGsOtMwdAC80y3c5eJ0GTnuhH19X
OvuqzucGqUExQy8venEhLAd+hxXRufAEAmddrHzEvsqLFLcGNa+PK5sXS81Bu7eNA/2pHuhDhe76
zwR8gOff0YDmxy81owGqOAqQqH02avdLDTg/FOW8fIE2Bhqpk9Z8lYHFtv0W9g+Rviwhj8ar9No7
aRJy7o9R7TyIqRkrFGSdbQHDTywyYjot7rxtVkWQzumPRd8H3Wh/duS2PdiEVzXoYged8Nis7h6J
F6DJE3Wt9cyidR4SMGdnfOeATIKhkUpIqhGeMEpD4YWmmtqOL4o6FaEzuQSTqDpZAdsoa5pokwEB
tIAAYNM4U8miOohOlelOyRSIGHqh688gTfgg2iXEm0CAcHD4oujJBVwHY/Vr5foLzYIGroVK4vgm
9crsRbiyQwTZzrCDkJniGk5LkZ6bsypx1ReFd6ciP/XAZeg1+TGq1d33Ef8iAIJketRAsMAVGAHO
dGZWfp0JHr1bVQQ/m1KdHzSnn9GKE4YkIVylOaVYg9+Pg4gafY2KESQxHwISx41C0eN96k1QwtMa
4XvhlLBXiMowrkXSmVjl0bZAiZwIZArdMZ4e08oG9iCTmZqtzwbBH0chIIiM85SbFojnasDXq8NY
x2xJxIHmP81cpfgDFN/czlqkg+4FiHpGesGs+s4wukgbDCv1dtLJ1pKtZPBKiovpEizjNctNRnJT
QXXgND+he/G5JmcxSgNAUAtElXjUDm5s23u7Lrodqm8dZtRc5cGozTahnAMoPezv4w0JRVTqcGOJ
pkDWbuahqnfztWJPI3ljOs2ZW2xjuHijJZlIsRwX7Re5YsxYEqXFygNNEjBXLOigyzIqCVYx8b6H
1lQn077OJ7npTLIMNnZRMHZwBnTQbevMRqCO6oqGYjP9RVKXg4Z/0IhjyfKF9D6nJDqzLrXU3trj
kDhhXEXMK8jimdug1/OKtdRGNbiFvCBfLMo5JnsGO3NQtdrUBoiknUsMALmxdUYp2QdIzvRbR5Vz
oGitzGk5r+04Eh3UW8LSZgsFtaiNYHEHhhnF3M9mOAnRXzrGTBpP7LV8RnPE57nB954KnX+aDDRr
iuimGeMvOzYNSBfEtFZUxiWPULZLuwfJgzA/IVM39a0R04g/2qN8yMhJuiDXLScOmrr/kGt4J/0R
gPhBVCMLLioa824Y5XRGUqP2ZdRUSDsDrybg8F7Ib5FOLJVOiwvskKAeZJDQ6NvOEn3LYY5P9aZR
THkbOejzUXfnzgM6EmX0ZQ2On7TSYSHOkbEK2CeUv3agUBfA08hGeWfOFTsbZGTtJq4X61ev9ZT4
IkoyvzXK8rdn9N0P0BGuvMq6pfkKdnpY01Gg7JMKinAb5E3dlLdDVxrPAzQ4J3DNBFWXi4SpCtLW
A12TqB1vTgwfJt8kfHMTskQzEFdR1yxfur415Tm8feZSXSaNK62orCIgNYOduCAzer+0Myc7ybK3
STd1yKbsqHkJxUmJkZvcVs+Jp10y6Stybp+UWffGkIevXcMEIm0HzM4YFkOXgVRTO+uMxD/bBNQ3
JvzwyksuvA7KDmntNopy/nM5tYlWVw+5ldhuWPZkc4pC8y5lVvUXILTJexOitZeAFmfxFfG7vJ3i
SPmVuQJ030w8fH5mjDnRRVM54gaoqVwvl3jdU6Yom7QNdZIHoBoHE6lMonF3unC6r55TFd0eZX56
6I1O/iQNw5h3WBpIJ+nWHJMQGQbtBc+w4hdzMFQeWI2XwKY6MgIpXBC/Y6FNOWnwCzdUYEDk2Ly6
ec28J5SJvwlqFl9ETw1pIiokzsHE3Ceg0WsKZjP/vvAWW+GsDOVFocTc7YT8zSs0fubvrJ3NX12q
t+cI0pxxT/HGaU6iL33SF8ciGDRmv7AJPIpwJhFJjNJ48QIeXNEFlagSYsXSGgcH5PPfpiHrJTS6
hjdiYbBi+MDITGWHM9SkLa2T3BiOXaue0bOwXNho8YLtQispIyU2lUMtJDkOcQdbcTtmJDAFNcCW
YsdXFpZ2j2IbEs8Cv5IEoVY5lxgM+IXgG9iH0pHzMwk/6UI51/zo9SQToYWJ5io38uWb7Pv+oktn
5ZuQpfKN7Ah6gqasdb7wBD4YWFOEQYXAV7QPlKlpxVmeDXO85fTYfG+rPnLWvWDWg6avQVSRmxO7
V6ZWYWoiNmXejO4EtYW5gErqk2uWfu+tx+faSCJSZLs6DgqtcAYymLXs0eon87njhZYHXKTmrzmd
ljuBYCYmYYcUdU5WK96rzjSrR8cZufRlBKcRv6Bdc56zIfP/zmv3Ed1b6e1S00RNY9TgyjhZDB0Z
uhoXCyYTb8FhMkb3wqswZrLvJ8nBaNFjBKaZkCvWV4Px4tgZ4wzQdV1FvKNjEZ9HntZZl1dDw05c
k3VV1YXDeDuSKrz2HgA00jVacX6XZQx6Cs8ugwEzSxm25E9dMRSDGUcWFExq0S/dU+R07bVIDZrW
at4QeTYXdmVuS0HnJqhKvf2ZzhSd/kLhl/mlVIfbcomVJLTjPH9mEsQpNZ16zzi0vNh8b2r4GBt1
aHJxlmSYEClsW86avtVppPDOfHimkP/V7a8JqbVeUo3xjd/0s8KHsRqyLzosQI8BvUk+gV1GWGji
GFMFSxJC3E6jAfibaZp7sVDmd/Dv0/KFz5286LTSTsK1VUnCuTpZCe9AFpEby//ZxEB4q9Dsa0wb
bFERqS7AfW5Ei8mKRoXuijP6Khk5YsbcETnI4TIg8c9eLhQCJQwY9fQX/Hxsuh7ME7y6wpejp+X3
kt9WbadBWbEoDpkqvWFzUDJcwPaxMSbTxp718YVv8UDimqMnl+R1xtYBgqFTHdClWFRDjl1j+InX
RZnZkJ+LOpPP/wFmUlOrXuHh0l28QXG73E1u3F/9RxXl2PPKifFvAdA+VPmA79uCfsn28z79u+Y5
4h7NMBipv+q+j0MVbNF20TKtQTI5JOyJfsuFohgDST9OfiVKJbqPMrs7Meh4P91ZJUXk/yADQmME
geNtA5tMoxjUYSqCYiSAhowZjRzprGjxfIpsoypFdNB0eHkFLeIwrSS52YUVcZaxzL+dU/CXMMpc
ESsmMwT7qJWuWG5XGzGIwkUO+lkqBo3GtWFdFZasrj+/1e8GL+ulVvQwQGCm08eTJH1obaU12edI
gHLPSRCqfZEMzYnJ2YdXWREP6KsZ7hyDYzorQcDoUPUbsbZsir5W7qs6b09IPt5fhaLU42wB6GAV
Y6zjnz+GH6Y10p1dJ7IDMUfbyoiAJa7DCP2vHw8zsfWOGY5p6+6x+b6UWh4vSV+vSDy5F+sPqWOE
t8uUpScu9cGbQPliAH9aOfr8tLc/ac4jOiBinWerdny2LBhelLjIzjWnpM+69N5mwJJ3YrD/bojE
JMegcY1odp3FmUfjZfIBk0bjY0DnmwPdMFKsT0DSdq1VvYhIm8OO0SvZmU5xYmh2JB9+FdFwU1HS
GKhC8QgfPUFVidYWI2RwAwA5sS7FVCQ+Y9b+gO8gX09nzl6ROj0zGw9B27TDec3ERg3EQojZQoTv
iVvxGt5zPNWC0K7xGlokDelH408L4FXNoUMEqpM3d3kni1AfabJNcvlFMvh4gckBNhbeTtSD/XgY
zbbYeyZ2lTxZT3Rj2mwrxfntyaQ5n0lVY+wTFTQUiAk7sWu+W/4gFl9fLhTPjONXsdyfy1+DUxu5
/VADoZTyAVAYAA5Dzfd/uWFwlVXejezg1SZztDisCI603ZR1YJa6e1nVzrPMlOb2/+IiDqpQpu34
S52jDXAcePsIx+NEY+TmHnt6cQNj1z213Nbl9Obhrr8FIRMIgzU54nihD4Zsx5JwOKalg3llrDnU
IzvMhd2IZlMasUFUdpHs8I8mtzBLs2AhhhYmk5XpZO5k1b609PTcxRD4SP60+/3zm3Bk9lv1NTba
HAubOKB8VT+ma+iQVME/ZXXQlNZvNY3F16ERd/a01OcGtLmzopvrYLEG2iLO5AyXkKzgwjrDdGXH
2J5rcuh3OmFKXz7/u95tD69/FhoMpFMogNQj4UvrDbNJ770OykYrt3Gd0uUaoRt6pZ2fLWLEglfB
Ypm9n59f94OnZa5LYhVw0vd0jzYHTiRYWzQWBWxkZgCRSwEZ0YOd1PKUUODIXvh667nWqgNFsky2
2FEtQLd3VBaRMnfNS4atDRDDspiNTVkwVe4B3q2hykCFsUBdWR6O38JbTkVlvE7Mj5bnigYCbIau
cC2J3r7QhTdTbveMCUZTB0Ou5/qmQPvjOyo2+4LHftBm6Z3R45HfG6XXvxme/N32toYGiBaS0JXk
One7ajPmRG+VbcHsCfSAfZ/M9LTwgChaOGlTpZF9YXpbkgzbOrCFekqd+sGCIeQBqoLrqqhIjh9c
iSxqipqh4sHF8qsFW/kON1K5sXo8CYsTKfgOUEIoHvPcz5fM+piO7qDlgO1YPyWsmmPBDi6qvlHp
rgSlZg4vkxupO8xt+h1KHvVOzN6pV+ODLRjqF0ZiTKm8Ja/6yT8qkIpJLIhvvQwK1IV3CN2G67ky
jRMfpQ9eBMAROpwMC+8E8M236wKRR5ppoK2DKhHiHuasuDDpWF/DrNdOlIdH9KPXFwFHD04epCzg
H49BjBLDOTsMtp2215JAM0qwEyCGzjWQCSDqAI32k6rR4Vd5V1K92YE8e9LS6IJSJTrXR3Fi83l/
hx2NLYfq4LXyOibtNIXAxzyWgPwVLduZHUovAOLxiU/p+3WDbAcdL0Uk2wCKobd32NNjCAy8Q0Fc
YEercOWEwCenfYWG96qu6KJ8vk7fP1Guh4+ZjcZAlf5Keftj3ZhKDuBS53qmXqXbDs80OGstWh15
p1BFH16KfCi+dzhO0dG9/Wkp/dFCEEweOMPQHqxVorTk0P5AAWcn1ukHz2pVqaG1X3WS6OXeXsrL
GW85BStmLDBvEqpi7hK4wCeu8uGzAqbCMkVnxRz07VUIL1BzOfGDIqaNPCarPa9oCAW9NJnV2fl4
ogD68Ab+cb31f//jWTlSqKnbCn5VOyz3wnZHH6l5tk1keUrH+9GlDL51fGgNyHT2Ua3Vel00AeRh
GTat65v41oKuL9pz+BHmiRPaR5fiQ2dx7vRwpR7Db2J9aqQ2Mt3Kmt48kDwQ+YYstata7ZXw88Wu
vb8WAnmOFaRc0VfCLPf2DsK2Z4zcIzCoNF17EXaNVBaU500DLDLb1nVrBwNxvI+5vvRM2fXhiRjI
KMisRpSEM0du2CM8Z0bSN4QHIyY/8Ta+X7fr38d60hC0kS18VH2qPSVjM7C/2jKHhqQBPI9pNZ/Y
Yz64Czo1tA1qiHqa9La3d4HmPcJtMLegX5pyl0RlcRDCXkKTWMwTl3p3inRXyy+lLp/g9ch6tI7q
dLALbAkFc9qlykNGK86TdBlDziQoVL5aYIgMRnc+VcC+fzVXdio/ERYbetljyhQG92U2O4vhFFnG
kV/FcUefX+v3oxadc+PrO557d8YqX6700RzPcUzWuyTp4k0DBKkPMmdMHzlu36gMWR40MS0nHvX7
h7ACBG3+ytWuqh3fmdjrZUMkN6IH3R3uFTWuLweVDkJCDstf71MrJo81hQeAh+AcPW9R5iSwyDQP
CsXzvul67vojA2wZtv1c3xCZOp94z94vY0yv2A0sjb0RTsVRnZ6BUCtFg1CZJOPu0Z2M+c5tF7s9
8bvWv/ttjUVN96/plUX2zsreWODL3VwigafVerbIElnbQMcTvRk4cPRrTBNHSMsH0uds3ysYlX++
n3zwO+nGUCSbDnxckL1vXySyHsBX42wNqKC9jVcP2SZPZHz/+VU+WCkUkYDO1+PHiqR+exW2xxZt
Qp/R8jbGu34eb/FFlM9WwVfm8yt99Hs8TCn4KMHfs1LeXmkWMeAgZUT2oZImGjXl+OKoXvPw+VU+
qOzQjWNfQL1Pl0c/hpkPBZEwg8MPahHzFuheXBk6MLLCNPfijd0Vc2jqPfOmYh420p5+9Fbn7lD4
VruW1s9Wy/os/Pxv+mgpsZjWExfGUE4Lb385UpaIKqtbwd5Jd92hmQqqnDnG0kmGa7zDnL3tqNri
4p1DVdgn9qt3N56bwVJhK8bkxO0/2ibZEdtogGrkZ9mYPyaKl19ChD2ZVvnBZeDurc7F1bxBgfn2
V+bKVHR8gAkPQcYwo8VOkh3ua0R6VUErn/xBl5wUfKaxhj5tUybLd1NLxl2OFG+jpEO/IQvZeUwY
uvx7///KRPr/Zvr4urr/a6spU+S6Sn/9aTVd/4V/raa6+w/fLuD7WKnWqcDqvfzXaapr/zhr94jS
ljJhbTv/p9HU+2c1prKIaSFQ5KyGTKbNrx5U5x+YVuAA6CayPTNW/BsL81GTiAKF05m7Xp9RyQq0
OH5n9Ebv1/NgWNGhOneW7rmJ7W6noJm56JfZO0u1sjpfvxQ7mifODsYy41wHhWnD5NTxmIhGw1lV
xdnjH7fw5t8vwJ+mrLcf/9c/zKWlxh9GOckp4OgPc6JMyabCVENOG+K8AruBdqab+EN5zQILYupf
7ZvrBdnLHA5RxAXgjFodwX8W5qY6tSn9WZ1ZJXg5tXXbs9ZQ+qfPf9bbZgaFOEQkrmXxIWDTfNcc
X0QnJfW/Gy6uhBMdLUYPVDtVU18x9MfM0MWXqCAixVKb4cQn6GjLXq/NMcfGnMCgZv2lR78wcg2O
OI6MN8Zi599IvynOutmhlTOCz/Dbwqh25DNM6K0zksc7FyTQkgz6rjRV+4q9xb7uiSz4+vkN+fCv
olijvUI3kFLKeHvfnQZ8kBHFUUisi7IFWubs0Xp2CCrp8jwwverOm9nJ/UJ3ol25DOOXvCLHiWP3
LfoDJCKt4TBtPvFXrZv1f5Yl/94rTtMUvrwgnCPW//2PY5q7OGjmAQ2GMvbcbU84dqhmZvtd1oPc
l9hxvnpLM/y26VzsxlG9zaRjn4MhqcE7x/1fgsJ4cGtDCNoP5hxqwKNbZC9AO5NV2GihEEL/haZx
07SJu3EaVXlOLG/+u77N68+n88XOA25GB859tFQQUxY48WBGeaImc1oOMEDyulXvW5KOg6RKMehV
0/Rb8AB8Bub9FXn1+QbLS3OmRImCnl+eKtTeHkNe/ybW71oEW2wH9JTePhLZoWPSC5vkVcd2bts+
khskqGNoxpGktULah9OW3olb//Zry0U1dY0uIUmLypAh2tE60IfGGED1ZpvaieKda3TjbsGMeuJ+
f3AVc93sIJHS46Sv8vanVQxRvZRh3UbmMOT5pmd2UAxGeff5qn53B7F1AUxhHsCgB3P7UWlYpewN
hOnYYQ4i9JJURvNQMU5CQ0LptFuG1N5BZ7JvPr/qayDvm3eJy/KR46fRyiE24ujX9WblWXQ9zLAu
FyXaw+xSfpuaTKptPYtkW04awtaZaTgBAUo7t5uoqlEzt8ukkzzokogQKnwQR1/z2v4+VwQVT20g
m1q9VRaUW33CVGTOzV2LhwjoKXmCd1lmxRdrMX6dTZl2K2hVWZumZybhg3LtLoit1mSQDdZc+MhA
V2JvVMvdwGaw69RMr6+4jZblQxqSm74ymi3u3BGjjdRRasZeR9wUofX9U9JI+0pVyqnajolen7FO
4HtIh0o0yE34BEGe5oQk64NT3Hc4V1Tf1USsh9U0NCOJBOSR3UoE/fsGUaa7MzQiG2HhjsW33rIQ
5HnGXDxJT08jYiEUZUQbkmhoAdUeNayhTM4Ljqi2DRXifhFvikPXeNH9lEbiqTAzNCNlW3X/lnr/
h5bp9bVYH+nq7OTt4Ih41EMmI3OhPa0T+aeXSliT4rTD+2lvbIFkx1iK8SopiAT5fCGtL/i7dYT1
EgoZ/y04a2/fkgns82DEqM0JTrU3C4zXjaiaJtShFfmfX+qDN4VCAJ8nUW7rAOBoyXZdnFMveVyK
twLWaatuoyTJg8ZozDPW+Uw+lFIEf39RDeqICl6N8v6dVzaOx0guuR1qtddfgr1FPe+QCKtFiMkd
ihK7b9W/v6f00MCmMY/DPWscbaqkiyYKRgB+aJqaWybZOIBSt9oaInZOdD7Xe3b0+PiWUnfY63Gf
6uft46NkQ7k61qyZhWRCTDFiP8UNqqtsQpsi2+7E9dbK+viCxJ2+ZsSYFNPW0XopHEvUAy7BsLTx
53ml6/12l6l4SZMlfRjIGXjGIzpMO7VutSUUNbhuAu6iydqouWU4wdK49c5eRYIhL5h6I2LciiSD
dvOhq7BinXinPljehDFAy7SY/fDxXT8Sf5QcEe6eSelr9HDgsS+GYfUONpEa2E13ynj/0aWoQpHW
ajbb8jG4aCRIAOsC6motQZo9IRo9ZIoCkZZt+cRT+OghoMPilV11GQyi3/6qOdE7NxszJ8ROFl0g
MO78hUq18d0utf2pR41CjOLfddlf9yeQCjBGQHGScHM8pqg9L8X2uTjh4OQV/RwwlS36dZwZUt99
/ta+X9acG5DyrCwqjdbOUWMukYtTYCO1kSoTQpARBLMRy9DC3GTqq+V9ccKj/b5WoM2AggKZ2Ss1
9mhVR4mRE5TJzBoss7XtlLm/8PjEnliMH/0qJHTgJdftnWHZ28cmUhR86FCsMLVnD218OuwILB2u
DNtjyEtA5Inr8Z9897ayuYCjIasOFh7l7tsrFrnncfqqoMbbowImMpUVSXmaOTJaxu5SIRlF+krD
PmnOOikWIk6nHoNV1GngRF23yfAxuuTkdoBUYGDadvmAWTqr0CkbUR5MiBaDupPUEaPojb239MuD
11qi8qO5KX6kUT3vktSYfnckcV/HGKP0rSBVa/ILI5mGLVGKg8A2SqLQxslFeoWyuf1GLjF1C9lm
5U3dtF7sw30tvooMYpBvqjGo7kxth19JvQJN8I9hEpoMfXqJauqvwMO803OQzsQ5RzP1hwnnTwY8
+vKxGwbxmPO0f+dJF11B30AXPo5LlPtu26sra1KpSiKbnDLhZdLMzLdUWb9YtdlHZ55TWOtNjOYb
S0mhv5s4LaJtB7AMBmSZtFem0kq4z8rgIJDPSVj1lT51zo0BNbDvyVj+0nuBPyWJ7fK73fSi3Ehs
TA+cFsYvyIbnGGPZpMUXQ2EAEvTIMH+JxtbGWduQhOszjEB7Dfe9/4Kfumq2/WJwjEMhXQJ7T0W3
BFqCSHeXSseidpJGb/j8UWxIpBaUP5a5U+4wO2VZWIto9TWv/m4f64ANrA9rEqRDRv4/VpvAb1sf
J35XnsbDtk2n+K6Yi4isY3xR10gUmydqt74HbJWS3pmOS+XCSRdEWiMH7SC054oR+2mNsxx3Pw5m
GAJdr/hjL4ETgcVWnQsI6NFwGGy3fyxqRLsBzumKED8xV2e9jk/BzxcXzjt0EW8n6HieqxgUSPxD
CzcHjeehovbSriMJHVPWOU9QagHl50QMABL5yp9jxSE5vu35B8EfpSRJRMZwNbjYcnAAts5DplZK
E6Zr7M0lqI76oFhV8lOvdS/fZbURHZZ+AnRAxEV1SI0KKf9oqPHtaC/6AxdSCULu2vppktVyx7pO
saokzfhLQPQddnkt+Wv1ko+cTwaLuCZe+qRE722Ldt2XecnX7rRLz8DFlPT2JQdQoBXAqPRQwPbc
CSiTId9g/RJ/8bSh7ih9Q52m0ImmlobEqSnl+14Dl4cQAmIC3BBn26PeKeB6IfSy1sOmwnfoE+Uu
wrZYrXkz6tKyJ496MJs47DA/hg35WteeWTvXOg88dC3ikQl7nE+Umu+/xatgmHMtfYYVYHv02e+V
0p0ga9qhcDleILzPbxQXU7oA9Hr7+afqXbeP27+26vnxq2DXOS4xPBwUg+n0BtYJezrIepxDYp+q
i3Uufj6DZP4OVKvCC4fnTWvxWnECQaeKfZXXmQQdBzDYORCHavv5H/Z+WTCCQarE+RfN8rsJ41zg
M1t6iMnkZc4HdZgIejYID9jWbsP2mFecw9JIC1L8NcEIQ+dE5X2kHF3XJUQXZJoo+VbgyvHnbska
NbUSsnLLaIyvmpStnzZgc6jgRqC4tIftQsoMxNPcuXHS3jkQn92VazZR941UgfL58/vBeP74a0jD
GAwKIylDW2VkR8UyXjSJf8yIqSXG4cxMisXa5jYnRF8YZF0HONZSfdeiwriKQRbkgd6wkHDjqThP
WM0/x5meKaSYyjnIHLtnUBaMA3xjIVQHyjaVZhBZedscOD2z61XAw8/ixvUGAiaY0gRNbFhP+aCq
e93OQdJVmiDkoey0dq9nSYx9IqqL2h+QEhG9orNdBtNs2V8SK67sQJ1nDbdfrhsRr9WQXjGHT1Dd
6VCh/dLN1Q4BqGL/aCrJdgMSQsW4khSNjQG0nR5rU8DT7BTiK4LGnOKDxnN4NhoDL40xAeoIW0GI
C/8wGIQfIq6JUC3nQSVxYWbghG1acTVEtI5E8GdujdTRry2j6R7tZVr6rbYY4npgBzYC4hW1eGtm
M6LcVNrtQ+fQVdgMOuqF/eTqCsRxS73EmW5XN4DJIK5I6RhaUCdq8SQGolITCXFqxySc3lfSdB3Z
idiGDL9Oe3gYcl5tyMYg+htZ99bPrHYrZccXsih/leOs9g/pwvp8XLzE0vdirhPSt+YWspuBt344
4xPeHRZMnlercna8ICDBM4PcAFobzoWszUM29aLdzUmfw3/Gw6bdMhwetsDhDQE9ylUjQO5uC0kF
/SceoKJLrlc2BLHVfTY9qLHEOmUnDBx4mvHqXh9awrfrtNEE/i947tvWULsfSRRNBCnNMZHlFpHb
S55aL5S/4KTXnG8dxajSPCNE4ZNZ4eT7ytFyoI+VtVEWJLiFo4M7Tyn4oG4aadthGd8B5U0zP807
xdxMIukfus5ePwJyLnbMtd2O0NSSyB8xOaDY2kJumxQ7eFA7BMDjS4/yfNMrkrzmpWKZ4nvNG2JL
EEZcZ3Pq6gE5muWME7RPyDTR+w6cz9ypPomvsevXbVrOdOJphW5bAIyPPdDDchNNk0Whp4zNLxJY
6mQP7HwgpQG9Cdm1dl4UQApbnB2iSKyLjDC9gpCg2NUxRa3XcWal21fSTAbfqmdmdKbZ2bsm6uHg
9At+lJBFKJsL4lxU+IcVC5A5iPJCvqfj+JVXdk7YLggf9jWOiueYsNq9UnpE3aWRJ9XQ0WAfLUR3
fh36YVYAgkSrTzFnmBDOHa5Xv5e4+dfzq4J3aVZnwZKq5LdJoacYGrKQz4uyQD6LPVaazxS53olW
rjVO7D4rtSJTH9OXV4UIMtc4l6ZTHwfAEVByWFRncjGzX5bTKbdxh63ab4p0fIHd2KrB5BTq11x4
ygPyY1gY1JfKbdkbIExSOjb3fSmiPpzssfiaZ679POre8GBpWf57wgJ72cYNXn+la+A+lOD+H4kh
j1+KnhAlH/gTopos701wZW2ixz7v2VBu4FwQgF6Ila1LM04QO+9a5LO65JjUQRTNjuVPgPk9fx00
bXQTCxiRHytbyBgK7bqgvAYhgXO33IGlNL6RGZA7QZGL+cwdJ/Ayg4XZ6rAGYVWbARM/kygkYj8w
58cTIVl9Ls/JmzbH7cIZ8yaSYnqWZWWbjJsr9zEfYrykQmhGqBejJNEoWeJLbSTKzNeAZc8BGSBu
ETZTp+PHyktHnMFUNaw9HxZm2FM94RBHSqimh2ZwhAJ/p0yvyqoVxM70q1XOcBnHb1o7Xsqw0ghs
aJq6foKKhmQi9bAwbnR97H4aisJ+5saZcj2yS8Z096thDHpuLMaxNsOVqshcfZp6xYM/xFvZ7jyi
k3nsupk8qRHoaz4pWOaCWpJnU6dqLcJJzRlfxW6d59eO2Vd2SDyunHeL5xGvNQtSUKd6UL7wpFvB
iMAAMyqSiYLbigtoZoj60tXlrHnPgE57H4pQBj7WzWgSFPDOko2XD/bjGFV8s+KhLn6m2qLip1ac
/EuvxuJW4PxIQm2oqgsxp5hcgXiYFqAwU0YBaJskDVWzV9rNZFTA5EkZlS+xrRPBrVNBP0eEULy0
iRKN+6Su+Ir2o5GTAK53w4WExcGwCceK6uM7mp1NxMgBLy80A7df67SBPJznskWosk8qg2QTFbBL
FIIln+CokzJDM7hkjvBvyfL/h+3/bdXG/NfD9ocfyf/472I4Grfzr/w7btfcfzCWYEQDJ0nGjb7C
S/8dt2vAxD2VmTrbGVnHr7a4/8111v5htMNE1mHqvoqW6Xb8r3G76f5j0d5GZ4GGch2EGX8zbmdc
dVzqAr9FsIcBjDqXD8u7flicuwqRqKvjvXbvawzQUGO9Pca0x6xSugOycsD+Ga38lgoraAfnuyBQ
xlfm9ktbqYIa2MgPiMCysHVfVDO/TRnTxZJOQGN2FyOhQhzkzcultqorUnDPnTJDOg9By7dxGzhD
omJqrQ+IYgJzNEjx6OR5QfO1ScBpLXhYrazwvZqtuL5UgB4QKUmCffnNLtUf9RTtzb793Ske2hbj
TG2cu0Qft4O5SYqnxPtVy/PRe+oXdW9FZ/EEVTO90NgChUEOozr7wsSwX810XHYeZAlhWD+85oW/
DkPEpQp3x49w+JVpedN7kjcp37hsSimTjLE6zLncUNgwLD7vLKZ95hxky/1SXOr0BZCcTr6l/Mhy
9XEh9GMidt31Gl+Kcq94DxNNEuYV11n7danIxOR1bvgsLmwHcXIWy/pyNoPWTndAxkycT8NTXDZM
mfwV1uOll+AG9P5MqEvQu0BXOuuXEisPvSCMb1ZAUindQxt/x/hHjByy73syQIJCz/YaWRoz513m
bDdTAsg20eGYqJeJ2ewXNTaxApvWZd1luyWXP7JW7sqxLf1RYq+X04WjTtfJ3PrMf/djmr7k7Vbm
30EBGn6urjy8wq+UNNT1XRrDC6m0vTcq7IzXZg/gBqd9f2Csmd3GXDahVs0NiAM3rf6U0Uyi+RA0
003Rn62ROtU4bimhK79IvOSQDPXFmGsUUAj1rai9o3EVONpNVOH5dYywaNub2B7vWzcffGHNu87g
kAamg+jNufwq4ZkQJDbfxrV7boxqAUfD9St32ao9bn8MI9tmUu86i7u74Mim4OsDnbOmuWi/NfWX
SXBJyAZ9OWdPalfuSEHGZYWNYPzScJw+9IAiMwvvdUbRJ2b9sSP7CD2cP5U6oYlgQJaD14++1Vfn
8FayYOzqa3u+hNb2O3PkVecVYdWClOnrXQS2z8q/lk0bjsMUkv97ng6db1bnZDbxjSUK/X9Sdh47
kiNrln6VweztgloAPb2gk3QtIjxkbojIzAhqTaN6+vn89h2gexaD6V0lqjIrg+40+8U53xl8aX4t
snjtYncXYwsvWHOZynjrYd54tQMbU2I2U9G9pdgq/ibqGhpq8T5o8h6lFaRmho6rwxqzu2BFDIzU
fILQAhqr2BeG2E36dF5q5Y9bmJ/JovI9+HDXHf2PHw3A7MpubxDOXHfHsfJhORwesBj25MdRmyGK
uJgcFeO2WOPOyaOnaCx/ktjkYxmWdGNMqsr3W3KdmRe5jsOXrXV/3K4+JP/8NIgGTBTo4pAQZgFl
AK30gSzoT67Dd9fh9RCm/tO7yreqkWiQOqOLi4gDIkoDxpZHTRSB7GI/i8ubuwLNmp2nWYo2LM0V
A3KuVCHY1DsYkE/XzFefwE77Kha6O7E6+6TG97rEC2MIR8ThnBRXFqe1r47dK/CbDayPs6IUO4Uh
WVV9rk2QmuZHnt/yKd21EbuEVgcx90eNFghK5eqTZebNTfJbddpLAkhSo9pmULemXl5ABkjBnG2U
yFivhTTnZw7RyVft5aRWvNMIKizPqQG62NpRK+z2XifilBqKsedMN7bt8ioh5ayGNrIKsikbytYb
a+OeI46w1zQNjAESjAMkyVOi/r4A3ynx0T+VfXUlFDbeOwVjZCtu1l3UwWKpVWGFa8I7iekuo5BM
f+Vaf4TtGMiaWO4RZp7IT05tLC9mqbx3xXJjfX/MbPOiVgRhGkcpyF9sxvR7SMQzXaJBuWd9d4Sz
bgBgOEzLs2TnLhrdVeFkh84oZ78059soTfGpDy6TTjIsgTKacOn6Bbbr2GVtaMHOtRdeI0NEJ+TV
3SVtWyryEUpqYxQn24zaXTQsgIoa5gwXkBPpOS0jRCKuDJxUtzxFF+NecwCAKo3+CgSr3GeRYu0d
Cta76Ezp292ccGIr5wg028cgca1Y1py+UUpNocmY/4kvRob4Lk5P8BfmY0y4nR/3Rr2zih7Mg9O0
QRGLFpYmLEIikSLuwSwnBGo9250bErbOhwboUshkGxMbxHn2x1Qm0FJQSjyZKvk9ZtIZdHTJQZw0
9Z4EmwJwxd9miO+qEDu9FXW4aM/wnvRTBJvb17pGBh1H1Q3UH6/L6FrVpdONIdSTYfyN7BPVVGEs
6h51Nvk6KHo4aLXqAioL3+86tldcR6AurRdhzs1+zmwORlruzUy1/LjwYu2XUSmKnzia707k1eTN
MG8Lx+chN3RFbcTAJM/3g10ZgSUp+ZMl/xzmRAmTjGRp4SbvRQynUdFP8dzIPYS4e5ov1dmws/zP
wBDZa8SUHSIG1l5dms6GdUXjL/CJPKOl8pdpoW4nCGQhz51CwNJ+l1nWwnNS+cJabRGKur+ZhhgD
syqijYF9MDCbcgDA8fjTdKmAjurKa1VpXzo4+a1JmoTXJ8mOWKkX9h9XU3GmjV6b7UkqlAb2G2I5
dwuTTt902bxuRL381rJGcjrMeGQBKm2U3ll2ubUa5CPJdiPa8zJviRDu0vUnHlLVZ0aubAqre1+r
6u9oxU9YIZSA/DeOAK04q0v2qqf9vo+Xc1KqT6uwQ12vdoMpX7Su9FWoZDhC/8x2/qsmwQjy4rbj
sadpsUXTvbUcCaMujIwTux129I8qyTykvbl1826T0MNk6oTGJdpMfXJYSydlwCC3RfRQnLTn2swP
7lxeY1duiuna9uauqrCDNc020q0AhicYEko1OGKByHk1DLW58OwpHYj6zdxDQ5rgJ+yU8biOawzY
JeH7nygjHawgSLQvp2yF08toDbq3S/uvGNEePICzzWNtDrtqnP0hqYWO586o0mBoV7ya6+SSSL72
DUSPfjR3sc2yCBR7mtFkq+6hbXT7+AAm/M4FJWOiRGRhdlaOx2FQtnWzJk/oV7kS0b4UYT8iByGA
SdlaceGGWmnM7KwGM9B7DffRyoVUue16HCE/PauJm23ltJo7meTqaezq7BftW/tc131NtMNKedRD
rrsbdPigjy2QOTBwdQNGyjxeEVrm+7YxlV1WzO17Z6A4Mybdyj1lTIGUiaoCb9osL9m6qKA4TXmA
OWb+lCrm43qYhidXEV8mDD3IXm02XJwB8dAc1xQyJS3lJWMOEEqnSl+YSCt7nR/dGxPFfkKpa/vZ
CBClUO1mB+GQvlaMZGpF2sDJl+ggJWdzgzu2PHSpxq1ht/oScn7o+o4x5m6GRnsY3fRD6/vZYMGp
mO9qoaWbdVQTv7dldoN6y6CBYRC4TwuaqJeR1/ZqjdLdG6Ja+VAfLtwuoj5hArJRy14QCAc2ec1c
/V3Pyuij1PvioOsTYPSyXKkREVJ+rYw3PNGqcNMMu5fbiXzt81yJ7IM5lrOfVZNtnjaVDLWqohn/
rjDHdvMIKkYkwy8w3QoHoi58W0jjrNXOc+qaW5PZJsSb1O8sJ2w7zccGc2jj8cF2nMstTxJcZSzO
KLvA985vRj770zJdNAaYfJXGeT5SsPc+ExbWXouAWZxHv3RjCgsUu4wiqlOqqCc34QZcnIIVQf0C
W/RVJ14sG4gtMWaOp/qFe/Wg906ggIn0ZxacAaObTyFVMtSEGjKSaoJWqddgyvqbBuBw02Istk2o
iS7nJdL96FyQIN2oyd5lGyJWsnrzqQlcK36r8xmpWHTtUYJR+RE2TjJtcoCm73q5NkJoAjS+KWPj
fZ0ULZCjxsO3uw3xOr/d2Rq5B1g6WUuaHrLFaF40rSWhj2Hay1qkcoOfnNBqlPykUqtaCKup85us
e12L1X3O83zAAbViTCysQ4nwWqZ2HEYRWsSWvBavyfniP+isHlKhJpgbcYhtI9Qa93lRf9UpM+jm
kU7ebSNmJ9wogY3Gjgx4oE4iaOLhpLEItjIKSgjinhTzlsTnDf6gn2pJgxYOM/hhGFZEjnfZuVXf
GQ+3f111/Ath/IFTHSo/KZQuLNjybVRTERNvWUr2pcUDoBmY8qOCfJcQtpohiZ0Tj009yr0hSvTd
8QFLxSUWPWpyRd6aZFK91DadbQFZjrlusm1EB0DXQALATIi9f9XPQTGW7IsLdH8ht4V9zkcz365a
nO7MVNfflY4jok8sltJq3luhUSpIjRhRBQTftNdET8cAsFXK2id2jj2Z5DH9m1aGGpSUsFYKYwcm
NjmItKheZyHcgDTO5FaQvLIZgJ6/6/jot5bSdduBrQx55OvsvrekBNxIoR9fM3SWd9uU2g4H2hBK
5tDpxilc810zEYYkY5udi0q496oQyQaprcHWw2EXiCaq3atKWr5PzdK9PJAIX7NdDL9H6o3DsEpx
UFAf9qFs1eEV8ry8yrzKDgKa8S8YV6Clx3wct0bVMZ813dK9uJM1fAymFt1zwJPPqky5mEZGn6sH
ILJ8kfqi/1otgxBvDD8qW3iN2HfdbeadzID+aoRFv5i4mEKnyudLbjbKcVVTejGbL6pll+o90tqH
GLAT5wqq5L7s7PYSsSUg1cRqOPqJeB3Qd6ytdeISWI/A02nfHLOr3onrjvjSLMtmVDrjDtci+YCB
iKxRByz/Ll1z0EJ0nRp03GLed3FmBGih60CYGWtvBExznHYDhrFOe55VsKI0tNL0tWrJeTQjF7XT
uxvmtslbkRlG0FpVfHO1MfmRSExUr48NcLtRvUq+WnaCHNZsiQ+INDVcpU2LCDR8OeJt4o5wcwcJ
yshepa4CwkT0IJuqU8K3NnXnvfows/Urm2xWYPB3Js8YrJdSdDfu3d4DE9KxesMmJI27Uib0MXnk
FxEdDSHvzHJbAm/1alX/uuVoeXoX+QyA0g2T4/J7kelwGYtsn0blGFR06oE0Id1EpKvmbv5RR1qx
1ewknFwjyHTOcJv07owUXY+ka8qw/LOqZ5MeXfvoyvLSPOQvEuPiiwN5xlNM1Mdj1UFet9HeNtU6
HgvEtWXyszItwUEHvVx5l0m0d2URTIYqPa0H8N1pK7LIKPKHQj/AV2YDN638vmI61VoRQpDoPJcu
TG9Kn6700Uc+kUWNoY99yM6KpOtjibPW1wx9xlIwdmCi5EAdrWXyoqQDUwK9rn0q1r1i1zuz62CS
Iz6h61Obs9Z8D9p1ram82JV4RVbSZTc2s3TLZD0HW0BMjDTsFtqq47vuMW1DnBYF7xDrqF6JvzO1
CrPS/m7mtHitSnHu56kL7EdOjFtGxk7Veqpujf4qz5orndWeR/lXkBaHWzESQdwPYR7PX5Zm3Tjk
OPMxKPPT/gV4HSjNRyQAymIbYyw8ThuUTLE3tI8mLYOB7RS5uYWWz1+fGTYXlXhj1RIgUKExdZuj
7FZ5VHJLDR/K5z6y3KBzyFgGk06yfcm80Iz47Dr2mM5JL8I4yz5bS73GefNHJO7kY+Alq0DkC+ZR
7M9lVRtbbiHwfUWVB11dyjBJmKa0SwOjpC5bqI0Y7Uut7p9iUMle2zscLSXk8v4Fncgpkg5VZl6/
dXHru43zRWYKe4SqSreqkp/HfOdK+y7ZzHlavp7VTvESoAtJ5p7jSNHxZw+EwWSsR5sIWXavN8xd
3IXsCeWE3N66cGZPQVz1RwOxDlKE2g0qVyMgCo4usVsnhYFQAFw1+4rXjC+h1dbvaz3/qNNgkl1L
I6p0RRawk7uwLzq45Fgw1PgqWIudjNg6yV5UTNBU9SorC2LnpM/XvO/sLRnpvpYsxxqUsUzBpz0u
QKDsXDK2e7b4HmB+urtdU7/pE5HlRsEol2X6xGMA+jePWecpScMOoZjNk2D0dNd1nk1M8s9mwCfR
5esWVNxTWVHi66P2ttB7s+V3L7oW87yqclUYzfQEoSCzKEfQtXX8inCj2MJ/tI4WTB8oi8m+B1Lm
oJMJumS+qUVpvpTMGVMHE01ckj5gFIm9revWDrV6ybZZZRfkatTOk0jglE7xTVuNA3+TN+7E80ME
VdrOl0sAxQ63Okdhxt1IpDBkB3aLKgLKuamUwBSYjSOXOaOJ1s3J0y2bNJTJZE4Ei+EcXSqgtpqX
X1xWKrV+GoyMhE4yVxmjagoxDsrS3cZUba6UBmd16I/W470YJwNVypQ95a6wsXTH3+qY5AHSpT8g
rTWPLb1zn4uV1z6vn5ijcUh2gP5jEsSe0CPm1B61fNCORweV26odGrMxTwt5FddaaOmuV900TCfJ
bGapgI2AVeHiuhUWMrG0sd7QvW2nBVGvZjfNjYtnW7WKu1PZDl8Hk81txRlsm9lVtcq7Y7IlH/W/
Y7P+81biE4kIluArij+b0savsvbVtOd8FxucqMsQKuyjSrhPg2zfdOtXCs/jGs+Kfk3kniwM39ae
xoQtpvIlmMfdndp8NDwAHlV4wR6dmHFnk5xvnWEdX6oIcicGMnnNKl1A7M33HcqPs5lIYm4y51M6
LYViCkqeuRiDdg5elmNoaqYihjWEugPDOD8pS+hMgXrsRvxLqSX5MWkiv1Kuo2bOh0zULdhxmi57
DLRRMDFtCSioDQS1vBCZpbuUvEtBocJ0FuNB7kZ7RRXnKUapyM6icQDKp68UwRq4C9QNncgC0xzg
ZNIgM399R+ffk76TmJ5R2lg5YBU+cMrbjjM3z5CGRIbTbjS6f73cdUCEZyQicf+Rt0PlIe82j9Uj
siRKpbGrDDdhgkDZVQ99D4W3NAlzW7gHs+YnEa0/13mLyExJWJWsWWhpoH6ZdgvzwAaTnYRpK2E/
lH+0mBjktjoxstP3ucw/uiVWjqO0ukOeT/uyjJtdppS2JyNSaLyyKXy2FpCkZK9+O0oxbCdNnnA6
s04teUv0vj2MaTEE6gLWVdN5lt1vV40ytjoRG8rKnE6Tw5c8jewDi5ouLB1j9HWCvw6l2v+ReO9e
ssj6TipAMrFxkIySp6QSIQxsbqTYnYCl4h71qkFR/Tkv+9+tY37lDfE3uTvqL40zvfA1uMkS9mSj
x99UP9qJ+KCDPlnmcTbFMR6zkvRpRsEuIo0AwwtMhzkiBSFHxpwZXiLFtCfyvdpoKw1lXernPJtv
dA1XK47fhYSYXhrl1lzjbNtm2qGM08rrWmqBogTvnk0Ho7QAEGpoeQFll+i6aG1nWLtGYQZlmZG6
NLmenp0TebDLnZ2/VPmZveqVthXFmh2yyre4+60itMmswSS0qWwBir5D0VfSDTNDDJ2mO5Pbcx0N
9YmMcsDJHRKRbhUUN+4VaOnsrcR5hm7xLRwPWulEYEItWGhDCIQOvNOV4UYm+t0cyniP5u+qgu7t
pnqBrrNcZM7iqFX+RlbKSZ+miBjTId5k/AdXWxLQlFtDCVUNlG2hLxDifymd8kOpvbOF85AiI8xZ
nLvbZifaqusQyb+VkeonpzdcBKhlE2ixOV0XER8RuuYeJPr3ITbxDDU1F/elFMWTGw8eo8NNuroH
oS+7ajAyf3X7rQXOa3J71+fxpxvQXIRhLE+jo1wx9Z4m5ZUYKMo7Ui7KaVvmveObRRyUXX/nY/Uo
lMpNNFIk9ZF7Wx5Lxwbb4wiXOy67/GrU61Eu+GP5NOOYARk5J7FnRyhQE/QMmDIh72sMhIt6H5vu
u8216cHoutidgujgZj2G9Kp4l2aK6WPJrmMNadvRefllVq9XnMY22ug68nNpm3tmLB+4D5/qkZ9l
nl20eGyl4m27EueUwKYrTfcTCrsn+U5Pes7WU/4dEZkRc+V3ZlhYF9cFMGclD4LtuY1a4GRJWNA1
ErEMVf+z0HCAlYQKJdGvmLvNaqZgrZBKqC9Ld7YqcTZmeWA1vHEUQciUfU3T6FhHTstVnGWUgOmm
hI8QdMze7pi3hq1Ra46ftC3jOAuFeqGsd5cd7wu2X/NOshVsAhimL3o9ZQlLxDgi2t5U6iPN8sEg
IY9WDWJALOnvMOVMPp6dp4z+g4m10ftaiyZZXcWeAIwYl6zz7VYcjYSJAVTWVjJl6oSLG1yKl7Ud
Mv1S3WjGgn4nc0Ah0ASBUYMTU2a+O8orcmoqKmVxqQOLnt5HPOWyO4gifiKTmvm6cU1EkR+6pNyC
mILn7w5HTXOSg2uIKSQM7x328nXp8r0aw7NvitkOGOfZHvnFcpP1xcjzmY9ku9ivhFj8KAoj1gWV
/iOiLaEod+82JyCK5oGhV1UYW3x+zVFowy4zCr8e1+dSI5aMTuVpJLrhKRkSNmmu4GdqUoopzRWn
JunDMh+ua6t5CSxD0MdIx/4MKJgV87mqo50sR3j22FgppC9OUYdar23h2T87XeNpg0s/97cnwIKy
fjc4OScLR9c+zbIQdcwWWluYMn4jw549txW6yHZqtSP5Brsi8i913Nj1cagaPzFerLy/ktd0ipP2
kmrCn0Eu2/rUPD414xNteB8grDI2g8y1NzFY5GVZMb0MkWrQnVfJTwcHJ0ytlyReNnn3ZhRLiE7z
QjhMGHf7DED9fAKfuDXiPy5tOBkrIJ8f8gDUlZ3mmcUPln5uW9gpuUs+VfphDXOoD38SI1T05gM5
3le0iJsyPWQGuh+Pj3QzJkKwIrrhVOQa6POvKik2De1mxjHcDiG45GCAUYpV0yusz7IkphLiOxRL
F09iekAe4zc2rouWKJeXBtsVe3wmebmh2htLFsp+dWi1obdbynNW2PG9i/v2hhiH/zHMx33fCXeL
qkPbaHqX/oZcYmyJPytY3XAObboeGj67epwJLaMF9pCp4hxzJzIeagJ+VPA356aRBAfq1bQdRvJ8
6rIy3qpUo3mbe476DI2q73YGJtukucK/Vj9NmzfYbJaBQW4R//SGHe+VnCM6M5T6XaoD+uhJwf/Z
ZU7zTBKitVmL7FrEquPlKUhZLzOc5UASB3lVGll7lAMvM0U95ujC19WexR45g260IyTpnnXi1R6Q
AzFa/cRyEjTkHPh2wSEKuPupVwyHy+qNzXm9rRccFNFUkRNHm1ClYgPtE58CX+cDGcGtn0fFHy2z
bizv3mAf7bUk+cEgQYsBNH4ABTeAvqVkeR4c5+BGzHmb2by6uP/ZTepXciqYNCHQwkfOuxR9cMqn
qK8lM2LdL+lfRpO1IDp8oo4U3pYJFSRbDUOrJ0gFw9My4W9x6vLWTcNudfVLXBhXknF+Cc181idx
yPQB2Hm3zUyk/IAbcj7KVeziPLsV5J9SF8b3WckOpT58GNyuBHes3OBGguytECHz0slzjeTezvqt
VECkC6bUta5vppn9o2Rto+bnKKqJnbLlbzP/6VQpNgrF/YYuFS0JI1+dyByPTvRnQGXJ4+RqI2AJ
GUODRI1/WGaK04LEyEQkF0OXT86A3Dtao60+57+km2ckpjTfMkp+60pNeU2WJP7fisRWsYOHPnhT
gvVcqFvdaENsjQfXYg0E0YjNdnwkEvKNwvCiq4QwEWl0mxU47slygV/jLZFJ9mNZnjKd67TWHd6+
LmZG8DiTVTKpULRF07J4FWrZHdkZiodB/KNZ7a2TjAfVmB8LxshrKtdX6qbYNiYtSzT8WprymkU9
d7+T3JXEEpsWLr81Rs8S2qFSaL8qY9kbg7wOVRbGzCowgfxohlDCWHNfHtkLU98y7LUf9nrFN2S7
dSpH39lLtYRDOevBmmnkKuLx9CB0XGYqxaHUb2PZ7y0I2qSGxF8YCx1PscQv8udwAfXqT6ZiJKsy
58AWHOmmI2/JrF4RtF40Jb6C+PStfiDLrr9WYxcKe3m23d+uDDFMX1gfEhIz5AFp1SkNjOsX0yMB
DimkMu5AFXybrEcJqG9V3kmF0DcNt7hQz2SkekbPiKXU9ljbN+jBnxd5d+w98vkdfpOnubxrufCH
wXroAcyYtZnZoV/vaNuifB+787EFPxEkk0aoREIwAOGiD1BKEbRqdM1SckpJVVi9lbDLTU1ny0SZ
4lYZesTKrb3NbCLCEEEeLZd8MeWRXh+X1l+xlidkIHdTpoFY1dKr5ah7CtO6oddZ0GQLSEDm5oSP
ZBs1HkjzXA6ITP/G3XAAFfHMqs23M+fMjONAu7oQr8eek/7Sqy1ArPFYQmsBdGRX9RY4w5ZcK2KF
sk71swGoxwOeh0x+bPjKsZGkDAP5Wo8n6Sh/jYywSUN/bZvyd2SXgKfHb1m0f4WItoqMYiIiub41
2f0ZnOxJmGRxcLc+OybV9mjt04YQIS0+uVnPWgrTkSR+KflRAFwHhv1NnskrUTsXfHuPiVepXbqi
PRGncU2mVdmUhLA0o1tu3JpzVEIrJmwEHPGMQ63Jig+K3L3Sdl+FTD6mPtK3dI7HeVLflrH9qVjs
EoBTCsbf4kXh1VYZQG3X5Xs1ezgHNadkrDkb6VhfjI9hBaSGDCBd3LiLD5qz3BwHVx6xAQ+Vhl2o
IUv+Ca06eLVV5iuRtPYjEvCUVeWVkZ1NxgDMe3dqToL8xkfiAPQ3dflJJXusjkp1mBzpFwqb2qJv
/FjEp65v8PgyMfN6bVhYbWD0tSUTvJrIO6cdFTJW+D+16nxIgbSA72Vyi0BFDRvLvYIeVE5RniQb
nhEuQavY1Jr4vQ4DyqjkRQp7q6Yjf+KYJYGeO8kxTRYeX8OWLNb0mu+jeqxYPGw6fBOboWuYd/Ou
cj1gS0Djs+2s0dhEWvpjZu59MSTD6Uxjbldu3Xj8NVjSd4xT1bCCWToedAK13iZFtSLwz6BPSMLG
WCLPaJBoWOYbAn+fpanJlKMfg2UUJN9UyRfRhq8mEvljBdnAz7XC/K0L5Yf0Q85U9Wua6LPKpvnU
UpLp8HSwjYgfW6nfQ6991sggTTap2WBuBO8CqiKSHMeP1UU2MRUUUbpWntBhI2xI96Sg3Pi4jsJF
k8ZK6ZYVht+QnNdo7CQKNBBYBb0lucr+7CaXeXhL7czwB8vaZ1pziMlratvx2SmKZq80vFqmGr2Y
g4VYQiKKWVRkje50sPT5w8xaWBCzhrF6UO5rswCKKI/qPF6wVr5gPduSPxDaSRcaTMS8qbTEdhBU
ObH+GdVPHSm2LOzWEMMqUHrJPqtMnltm04zkPCNxn1SUjUM8v8dW8atdE307TNm9F/mfEeVhZH/r
lA09S9/JJJqRel8btmLaNvl+MUlUS9nC5sX58VpkdVgk6wZsk9Rk6MrnlHnAFOSGv3T0tQpLjibz
cKaE+oLmEPQ8Z3yqHSqTWEhnyk+JjTTMUYLXxN2oV/OxcS8rRs5PLcFhYHtIqekUflBEqcpBW4b0
Gyf2uiulLr7hv+VBkYzVfUUH+aMnDjeMhi8n5yYqpzS5pKU5Lb5GSDWr12V4xwY6XRDUotB3FOJD
V5kdFzE4+2Vt9dBJqv60UAKdSjNPfkdV0nGl07fqUWfROs1KWEZKtxPw+XD459HHZMVf4IXOnZl9
2S27JG2oe3YtWJU8YWsBusDmNCZrdy4wV11svVT2aj++9RWPUYmYgga6qN7sJif6VNOkflALJ2ah
mf/t4m7DmUsyighX9ZGZbPlJpV7rPnknnhoxm/XWp2hM1bRqH03Uza40zRcV5xvkjOalzSzxJF0G
n/pXTWEBkIHcRamcsya/tbnpxRKICgOIHXMksWXDXAYt+Ru7dBxubWo/I2RLnyer8aEloJ/SqvnQ
oZkm2rRPPLuQl9pSP9J0ONban0wqBMXSgbCZwZkzDezns3ybL6jW2VFhcPtwlPMUuTh5T6oVhzY7
l9i61fa4Y0nutRR2tvotJnaLidhlUpAa0P7Ss9/I/5khv/HebpgHu4iH1l/kOi+hFEz7YpKUH2gA
Lppl/dLthyEW7alp1RbREFNDtWgfSH/EopBd4uxhU2OJu8QIB7X0vXOj4dG9tJwqxF1lfWDgq1Dx
emuduNUOHQMHn5b6hrYnZ/jWPswZTioDvVCiD1JhylCvKawJ6JnJiPDntX5Pqu3YpMc6XZ6yxzCJ
FK8omITT75fepcOdCYPuxnsh3VM0Oq4Xk8eEdyid99qaxUFhd59daX8NWM0Lrct/R4pw3pgNJqG+
ulT+DSY9d1LCsXpsAlCy5U2OKtTQbR/LaqDmj6qlS61N63C5FrNle0WBwcNMznG+huOsvq9Dd+wH
ZLqVuU2XGMFy5v51NQ5JBizi01ZxFBMqEp8zi6RBR6xHUU9brB7bXOCUFynQ0DSbRyotDTsUhmbP
dqO/icYOcEDyCkL93MrkZA/faa8g1TEokgxzWTckRX9x6fLyTOjh6vmDgM+grlC7OlzqLMshZ7h1
g7Oe0qwkQTT70zU9SnTNPU82HYDkFybiUc+kzC6abtgQscbMtSgyjpLJCVK9SS5o6zxOZ3yGGKEE
mdRB7MYvyxDXAYxa+5ssDzxJTNx8XMoHBADnLlXe2HEnG2kUE+Jrs8T/XPQlfwsWtf80Gvy3LBfX
5ru6D93393D+av7t8Vv/1Gzg0zgZ/v2//rL/j1/H37X/NXz9l18E1ZAOy5P87pbn754AsH//t/8g
7zz+y//ff/k/vv/5p7wszff/+p9/akkGPH8aaczVfwYRYiP9f7kpnmtZfv1f7MJ//pZ/wQvdf9i0
kzq3EtpK9Z8cwn/BC5V/4Fh+0ENg80JCMvBZ/MtNgWUCZBiiL1d1Ibo6Dz/H/3FT6P+w8H4rjg0v
F0C6q/533BQg4v6rS1Yz+DvYmgUiGFezgRKIf/+fkClOLdiz2goZahFB3lTlBE37TQOGascW1Vpv
o9rlCyGOPbF6z2JlZ0Wp2OfsNZqk7I0uWGWdq3/LGQTMdhLK2uwHdVRdtBhqWQaEnT/cahhsKYI6
BZMilkTT/cKemLLPZRDQXu1VT9TTosx0t2i75yKDMtLFyQucZCnOLFeNxw6gLOr6ZOYGt0OV2upu
zB6gRfTDtUq646QNd0dO7B245G66JK1zn8rceK87QBz+XDZmHC7o+a921APfkDEgceqOSq3L36Rk
P/bGwPkm1Lp23k2IR3UOrFcFqlZ0abkym62BuguuD5Y/NLzm4oJHThTV9F0lqT6NpIysEJn6SD9L
agCLncwtIlSqA6qhVepD7q9z260Y+sjC9CoVu+XG+d/cnUdz3Eiahv/L3tGBBJAwh71UoRxJUSIl
kpIuCFEG3nv8+n3AnthhgRVVy97Lxs5homM06qxMpPnMa5QZtU1Rn6fO9y1ap1ld9/6HpHGcDykC
4J+LOJy6bVXW/Y2a9Dn44LCDFskUwu8N5t73o9kn2mpEeVGslS7TtxASTXuTIgRmbI0oDgNXh9s2
gqrzOx5nU0Wd4cNchvhaRPChV3oIDhcYcBWKlWxx0+F5bI3fIVadj3jouD4y0rjIhbXBsL55h9BQ
foMNmWWsKmJ+zKxD4f/KUiOOdoqn3KeJij95YtT1Dy+BF+jkPqkIp+AmaIyJFxwX1rKkE2j5xZVG
p5n8OQqa60ipSyyetSp5QLOjOxSFnXwYSqUp1x5SvVcCOvazr08jpjAzOifVk5+qhPu5KtMsxe8n
jpyPFmbdA+QYOIWuEK28VqMh+p7ULzFFNHgDRbkJCEXVY/Dt057GbFbxgb7x7OE0IxWMj5Hf0urP
1MoCdVM5XbFDSx3yDxiSjLVhn36YlKEDMzIFKuV7J2q5lCOpim0LZSlZSQ1w/Rovs3EzlUVAJx3q
XAn/O272wLZ10Kta2twPsOEAUoc2hTKQpDQ+wnh6MPqk6tZ9KMCbNQYEkhW6iNltHqLevKIR3E4E
a131JSvD8JethbKBkhJ1T31ADuY2hT5+aWuTTnVQeSYBMlaryn4MG5nSlKj8X/j5Bg+oNVl0Lz2U
2HbeELSRO/Rj8QewBmjd1KuiOyBVgMb8AoZqmcnI2kSDMYNHyZZAJuNS/g0GckxtKMr5AJqSi+u0
iYiOMsSTf2EG2Iw3TRD32E6DZb+Dnuo/IJVtVOvOjDxUYqI2JgDw9K+kECQ7qu2DhVaVkuJgotC2
oXkE0BRprQpbPv5stiMdDLo5RFHA8vQvYRLl95C7WqrqVq0dYgj4PfA8o35ShCGaG6tsxz3sAhxS
ReY5oOsT6DFJDVTbVdMWITAD3+kYGr2pfrSVwsPruYmJKLSxL9orrTQGZERapf6FqlT/O9erKTlk
CFn6n2SBmvhqovKPuFzDHfaMfWBdr+Ede99yq5hm9PbkZ1xzSiXWgZ7GP20fKO+2EkWBun6oWA/N
QIHhBRTGk93lcwzaifhBmMoICiht06fB0TuBil9k/6yyMftk9wlQElR40M/Br0LPtylAIsDGolS+
+9IDGzU6xL9Wg6nkChNkFZy5pwV/6FNneBynRf6VTmNTXzV2R5Ot1AfvJvPzwd4Wkv7rusDYJ9jU
o6ei2GmimkMqpNMIt6OebwS3AHtLDfV0jMHGtN5K0aW381l1toHstL03RJqBavIQfSoLS6eggqzd
nZcolLTwDi8/lfD5v5pkCpRxDGqngAOmbliP4Kw9UIY6PuKSD9a4ne7MkEmybeTCSi/5kao9emJV
z63mUlSZDKxP7Yg2JnV/2lJqIQdX98saBJRAPBBLb7NyKTbxEBkRdMYVRCHlqjByHEw5xtNPRAbt
B6rGzW9w5tOHBLRWuq4dP/5eRx3cfJGbMxoqEfx2swdJjY+mH3+uEUVB4EEz4DpNQDctSqTF+Llv
ocnveqnECN+MVla5tLfnBk3VhXJFv9ab42WbtlEcONkjXw2ss/Rz75fdRZQxEzkRvFY6V+na4lc+
AJ+vrtvQ5qlJhwnPIaogEQjOOlbvfcR34PGlekWlNjLaw9hbWu6a2tjd08QkVhw8HIQpLnT+U6K2
/kdrrDAfGNOUDgLSTJTzVGxhPxp0i4l7db/nSRX99CvxYRySu1N1acea3p6AVQaDYEqbO6IBSoi8
qNZX4Cn6N2GCxV7LxiEIDfDyxbt5cownzFnFvaJmMwS6DtmuVldY+15k8NSKSCKooOIwbm4DxUzK
dU+hCCmOTFd/0CUkiapxZCejydDQzEaLJ2ZqS0iZo58UOpg+Y/wECAvnigrV59bNfa1+bI1Au5v4
H5QtbxZE6lEPxQMPUx5fya6lSCcx16ZEFVLtdKqYUkWW1hAsat7bYpv7FUgO4QiAExLngK+T3cGJ
L0xDuQX1CQitT212DVL+JNRWatp/Oj+hiB+UOT1xfUL5ExJO3f7k3+ElG6TZtG8+jOlPRauG+ibp
C43zFUziKh1ijOzsIrDQ6rVl+BkFLZxXZV7DnsFnGI9pbQKyBePe1AFpOCDwAgA4UKQBhT1Pcohu
y0GDCGLkpdHwPszmvgVmyXciM/LxKo1Ft4uSGsTHOJilscrtEeCaBZspX9mRVkE/8KmBC90bQlcR
kEeA3/J8edYErjZtFC7sEWuOJ4mTNZ7cYa0/5LEjJpJkbZLAIygcbOsefakVMhCBAfEhBDE/FIyE
414EiL2lMTjtc7Q3MPDg0NSuF/TyixlOkEHLgPUHtBc4nwDZA5CyijaED6LhTLWRFoiSjawUhEl6
k4iYTkKnPYOkxiLLsT37Rx37/vdmaAVewMgnWLzmSZOuMNlS7hORV4CY7IA2TwREsqUaQndppZVd
excESoV/I2JV1gFrE2RAqsmejxKyRW7BYxDdiNGAa9GGnVTXuV0hC1GPnbing6DfQy6Ov/dWajVw
m6CaSoQUom2R2lguhwViVp9Sst2RaqvUQ8DPUADUrYopsHLLQxqU12U6ApmE9NjAbwBgkKkPxuib
1KPaxCtR/GqgPF9zStvssev6qgdzk6hgSaSZatOjWqWD8jxA/Yw/zI236rMM50JhWjeG+pmYwdJu
EM4fjXsdZ2Zt3Qh10t4nsashnIT4LRRfUhmBN9tCZsmLNMUETe+7KX/8waji0HVyK/35Knv69Lea
5WvV8oXzG4pKeAcjcYLKN81shlvo5gEMzGpivtiFkTBmhA/J8FlYDZckkSOd40RoBQaBeRSheEvE
p1Y99uZWWH15f676/1OLH0XCV99kzpj/lQnf/kjJhG/a4Xf6nMM5fZ0Gv/ylv3Na8y+Jp5SpqmwH
20J3nPT075xW/kUeCyWe/6BTqmIK/t85rVT/Egg8wtYzLa5RLtJ/57TOX8aLtQfGRzSoSW/fk9Mi
KnCc06rC4DdI5AkQalZtvAGOc1paNRC1cWjiAUKxTm+HcQMSia2EkejPsihgTxd9ug8iKGyjw3Uk
SwUAuhrBAxQpTOd4SjcEy4CscTzcmcKxHx0teZb11Owmgboa0C4ke/zmR5iaPwrLe8wr4xvOK+ug
1K0tN/sfjDW/0EmljRPQ6RcBIlxahctvkxEWS+fKGv178Ey/DCMkqzKK8jBMpUVOjdiqaQ8mcWEC
Gwl1Ga5M77kcnP5bI6pxPUxB+HnoSZ4LnybT5KvWB5zKdKKzMXMzn6p8h1gGNZI8Zp41dXnCna3t
C1LaPDU+Ikfk7D3YVTdOhcCyH9SRWzfZjnjtwc7A8aRdcxVr8V2AxTu9bn7l2pFdSR96jK9aegA8
C5a5TlvxHf3fO1zdh12XlT+tYEiuHORI0bjKN7g2XdvBUK08X7e3IM2eZdjru5B4YZ0Bet7SAfXo
k5oQ2icdd+08KVdlgQb5lPst4DgQW6Zp/+gbU6NySsEKzkpzNQwp2gWN/b0gpVsPVqU956R4qQtv
Se4NLa2uA5QHwQ2RKvu99ZCpNDMyWksfkrFR1vRn6CTDEl0LhTL9mEyH1FZu+rAW26Ssylsa6cKl
Keevw3EEk6xl94ExyFVNZIXonZlSPdU+JBKTlImSB9zJwFyVQ50Cg6ge9VGzVl45oiNWNrQLnPJB
j9DHhswxrtVWPpptTlPNI6SWw+RSwX8sigbkuxg/yL4W674Y2lvYJMBGm9FG+NpCwgVCO43GcR96
M+XMw8chEN1T0+c25dnyM9bOQOvr7kNjkAzlNLo2vBfs3mLcFhQE5PwLIjv54RUeMFtxI8vGoOWa
hjS2g9up8xK39rRnlQdp05YRq1fktB3Ub62pTxCzSKDSANkjqV8nCF3OxuxQqRzxTHQLRCubPip+
9jDZ5jbOzWClDYhf1fIpKRVv23gm+g3SLjdNp9Vr4u8KIdlMw961rb70hbqncWqhL0VftsfVOM/6
J7M2jHWUq8ohwOxhBe+6JnBrv1W6/6UIBu+zREhoH/pYgerg+am+me5oaFdUw/dCtzMKn4V5ALit
DfzyUGyBR2UbJzGqVV0M9UHNBNFqWH2rrcRAvNcWxMqWR+0dSc6q6a7UDo+CrtEPamTjBTPqYAOy
aNexv57UpnpuTDV2RZYTgc4fwQ/0fmsq5bgNO/s7AfdPuysfOj3VVoPpj66dQBir+U0AVyZnJ1pK
9IHF70y65LbAJxhKPAuNk/J13Arn0GnFdDMgEYeKEdKKGQ4obiRzkJ1D0AGdCr9zJyCfafNdaXGD
LjXjp8qukm1oxMK16v6zLqNvYdhvmqkAIah1OsAwAGYAFRAKEiCOuRsBpdS5tc6lPcHRKAOq2pQr
t7bS3Mpq2oxUsdbNZFMHzyBcyrANt2VBj8VHbY1Vi4370arlFyvLbDf2+8QFbiS61cTtT+1lvAaY
cqgJOjlqeA5EdMvgMuCGiqH1narp11rWc6sopDzZD6NHcb70k4OnA75S6AW4Xgr+z6FDvKK2d+v4
4zNUzXinNJNpI6hB1d0PCSjJC2jZPDiUYV44AivNp7VB9xitAeu589KbpIMmU5J0rPKIXpfnlU9J
7wAxB5ID5hL8Zqk+z8TpHc7y5bpOIlyfAFYmFX6t1GhG9AIU6fY9xffG4/egpuvvvdD6HVekEeB7
y5Wtdx8GbfhFB3qgaZMAFEciRvdDawMEyP4HdfQvOeq76XHF/KUK/u9y+v8sfNn9zueHv17+q45K
8/83avHW2cBlG2bJj+zX79dhy/w3/o5adPEX4pQWwp1YCGEfOSun/nclXkrcXAGaEi+gLfTvSryl
InmkodFmaFwcpiX4S/+qxEsq+wgtz4VLVdc1VCbfE7UQGNE7HKFCH37953+gJI7RNtDp2a9INXRn
6fCg65iFOJkMNug3tET9id1fUVwNHpycU/QqnDsRYs8R9PFYs0oTWqGESazDi8brq5o/tg5JDEwr
3KCfaTyTydQmAHPTcPuUQHstFdgd00QrYIU2QXxBfPvk4KZpSpZZ0MJYZBGq4TdRhrEWDVclvM6U
GIkAh7qvQcmGEgtDN7aXXqHkN1yQiV1mFqwx87aRb0Wg1OAXsDVe9zqGvo2y0tQg/KlJ+nkkw0Pz
t+hvMS+lFZ86Oq/rSEVt5ceWdtDy2Fz3rYHc8PnlF4uey9+/w8E/iADaNvhBx78Dn9HCKhMr2DR1
GOIwkUPliGSzZydOW28q8z+po+E3aqvUovMwjreG6fc3ZuQ7Vxd+yix1vtgKlmDz4zDHrqMbdfxT
mmCid1/klNpqKestJWTnYKoBNKAWttonpQcCtx1tHyQqWivaQWZ+bKxIHVDMsYB43UChVR238PMp
u7RMc5i+/G22YxDOzx2vN/aJFD9FPYKT2pR2H94bajcAYJ1JgJUtN1UW1Dv816trPamyLYTy0AWN
U99eWKAT34ounMCB2KDrxv1wvEA2ViuodtrRJjCq4WMZFgbdgSq5Rd9IOVhJabmj9FFNGv0qvomD
mAbLgKj1D8ukkn7+t7y9IizL0TECMHWArJYx66K9OrZotbVOhq3GJuNR/YW2c7xF+qTZNUgY7M4P
tcygOCmvh5KLWRde4PmlDOONppYI8owoFVwRzHnfaQ6Pn5B8tC7IF8+nfvGt59XldjZxYrWWbiih
cCIlKeqIeA7dDWrO2bVhZPqFi28+4G9GMclMLR29IV0uSguZTDVFbVR2VA9Jq4nJx6ZJgkICFbhC
8vKHRXXzwlcTJz6brSKLSWbLrSP0xVpGyqiEaMFHGzNN0m2bxuOnqOb+SxOl+Y42aLCVxQDrxlAd
QHUTeOreJzSsu9AC21nAacbLiGIqBO4HiuUg1c9/67e/j8OPvT1WuEJH3m+xKNxRuKehCbmpcyLC
rCxsYC5hD/LR8C4M9XZbzQZGXHo0uxG7Mhe3DVZDTV/lxvyVZbdWEKIF5G6pX/wy6dzJsvwLFatT
U8PnwdBxhGKOcv7zVyeGnjQasKaDHakBOYG7XyJVpg4Hs1CdzftXUUqKH7bO20qscDxUG5OuKbmf
bEBowGmtYLTpUZBsh36wLkltn1pGHg6o0ZhBEZEv3rHYqK1QDUpOZ+wgFJEayniVd8ilrGg42+uo
L0ZK6Agr31IRHW9yCe85r4ARrtN8tOiKGw4op7H/mtQaKH+lGcyNAazswuPy9rSx7+l/mxTyNI2L
63hJrF4TDoT2eOMVIt+SxxM4t36y5WrDCm5WQWkyKPLv/w4m5qVQgqXKZ19ckhC6PZGjWLAJ6xxa
ADcl3HrYb8FtrOvK8/9qsKXDYmlrtADVFmgz/iHXMyM/CRJzr0zDvwL+vzErn/6+o15XRU/tZCqv
XB+IuDK3xfayzTEWHv+FPFec01unAah0IMGMEkT++UmduLD4bq/GWixhDymLZgqcv5jC9FVQIg/m
k8jshQ9Ry9ajtlmXVk5XyEaSdnYfxg+Csky7stBavlKDuLyjYO+RGrfFDSBE69P5H3hq++NyyANF
NCd1dX6yX53qDh3EsQtyqM3EsXvKe1AwGtv83AZO/tT3mrc/P94bzX+V8AiEDIZFnG5QUouNnKsF
Lil07zcIWljPDRqpv8fOIk3thkYSI9ZO/5WOa/Yp66UNA8JohwP+YlCsEieeoNppnvqj7yY6MWZo
yEtOYqfWAyNbip3zlUCccrweve+w34Iu3ci26T+PU68oqGaXyiOXbHydmWP+7meUoiqxNJAh3AbU
ZQiPaYxu9daQbiJfQHlNBe9GiJTUU2PxT8BeKPFEXebcnf8O8747fr1tIXAtpHnPNMXS+SIOhOjH
tEk3MZsObB69d5ph+Vat7PyjBEdB5UEka6H7ZO0+AKHzw584ggxP2vBypRnWYpk1FMjSGmmHjWZn
gYtFRwXLBxFNSKrD+y8xzKvYc7hN4Ge4NJeSOfFw0vQ8yVauuHXe1ddRU1vAufvGv3DcT9zSQjfw
FGNfGzZIluPdA2zezFsU2TeOB+PNzoS9jRPczCayBQC2HoZ+LUyRd6+lJMm1DCmh7SP9eDxoh7iL
B1TU3wRVG9zXHv1Q1E7Ga7jB1fb8UPNnWewabJ5YSzzfbYzmF7dFbEtf9KgSbbw20tHmMnogk7SO
ZRDgG0t6g2lBkx4Qkfzz/oHlPCDxDhUvubhG2a49ABxkvubW5tdEBPXXLNCCnT7TdbEm0hDotuOH
Oeq9lDqduBFsVWJ9QQdENYyld1diGJWB+QBvBIT+j0np/5nq0NxS3YRpg+/jhdjn1HCMRv2C24AQ
frHEXdaWfdkLKED8v+58MVpP8TQVj2WQJfdlq40Xnt2T46FMrc5wStQfFxF1SaUVFEqvuMXQ1DcZ
jxUdFKJKv5vlU9PmQg74dgc5fEdbVxls/p7zz3n13qAVCsOz7YLNhF/HnPU2V00MeWkCWrFTgupT
jNxEFsjywrK+dDqPty4D46VMFwWcpqPqxwOHWBoNLeDCTS0IY1wzSWEcI98w7KxocO5yHbuhzeBz
qjHvQphkHeNlFl8XMPQPVkTot66lCohbHfwWbVa1+pXkHlagPW3TRwtto480hFAvEoWGZcBQNSpv
VZmpsLRiqX4aIcKjcI0Fk+KGvq5+F4UHC7oMRrDWheMbF26iE4EHkicmXnpytnimaH8838poUfmc
kE4oG+QwkmIoNsIyCvi6A7gZGzXbbgIrjbJn4nYz8xYhcDy3sC4Bd1mCfozT8XpmLWwUTakuXFkn
qjb8Nva4pEGJe7i1+HVa2Edh7wThBsFGGuxy0u5zAfY/ptm/VwVdINyAI1RrMBfR+r7dje2gwBlH
HOf8xfL2IXJMSncUkJAHoc+62P6pDlAhCKW/MQUOrj4+Cesmn/xD2iEzeH6oU5+EfJnCJ1PWJbWY
409S086b0bw+mLBOqVdi1KurTod9FSJKJtCjaSAh1TMrs0Sr8KeiBKAG+6G3XdOc7CsTwBf8oBTM
PnDPLRLH+aVq2tv3i1ouhVPw0AYuI9bikHQT/ICi8YMNNBNtnZdaDFkqrG4KWdgbTfGDFVqel2KB
k4POq0KYDGJBXwzq13YHEd/zN+3A2aRWVgT7WMWAeFVNWfwVKRIqqEgMXvjyb6skc93638Munk1T
UfsB7SEuORx5D4mtz2ZuUErPf/RTk0MVgdhO8GKSpB1/cx9oMCY8XDthrpsHOSG21sZ9t7G9QMKX
QL58GLgpzg964pJlN+vAAvBu5oAtTpei5lYf2dS/PUPBW2REIAZ3D9SBpTLd+0Ef7urBbDY9TMsL
030pdy+uWYam/K5btABwCj+ebwJ+p9IanWsW+FuCIChENstPqlszaZo7Pmj3ZFV9cAW4Lz00EAoP
OUDSmz7OFChrmvbBStLwz/nlOFGrdnhqAMC8AG5wCj7+UcIkuawsykSE38VG0ihEUMYoIZhYPTIM
fbwhlajugMunuyaE/dFSiXUv/Ih5kOXK4N+rct3x/lGqPv4RrRj8TvH4EbVZ1tuOvHqboisIcCDo
15OiDdc5LHZ17YskelbppYa7yQMTliuFfuERPnXpGTMsiKqvMKidH/8UXKPKrqwwcEfLetwLZOa3
g28/2r68dKG8TTNYeYzrX+qQOq/R8UjkdakOxpvtH8dyP1aG8a2jbrYrgP0PqDUh5IiYrb7HdSi4
9bpB+3Z+1U+dBBA0aHU6TBiplOPxhY6WFhodXGh0Z1dj6f3Gh7D9MlR9u4cCFR00hHPWfYVZwvmB
T90ugK5ojsz+fiQ6xwOnUzBYCJUzsFrMdFknuUYH1biwqeblW+4pmm02N/YMnNG041HMnH4UzmI0
YWYxtFBFeDeoZTVDyfwvIFrTC/bzp24zXF4JgzFNht8y//mr6E2Z6pnMy3hTqI1XcqroXWdeiTtI
gcfSAxFNsgWqm1QXLrRTG5Z2uakDgpJISyxWE3HH3CTDiTY22DU3UEb1o9mHf4xx+AfxKQJvnE5y
RSb5Yh7/aoaBghyMT4APFHPqXXvyTCLS0Wrdjn7PkxPMUhGKsO/qtLp4WE7Ocg6PqXzqtly+viEg
hthy4hCTkSx12zTXcVeogr0O0uvCDXBq45ivhlo8flmWDCnAXLj+s6eCbVZyPbvJQarNmm1NU+3C
Rj21cUyaKo5DrYm+8eIDUlJRQkfgDOMlRL2gRe0PBfZNEPlQzgpjPOHSMel358/gqfVkKDogBJps
ncWNW8ZxRp8JafG8RngA5JS+BaJRr9qOB+D8UKeOO9cpd6mO14+9dM2MkaR1CJJQMaegttV8eo8j
kLILo4hTy2gh8UiQxqVG1n98/rD2AmzEEiKWHFZXo1Z5W1rStMlUa1Cvo14ZvwkLbRjLgJ7vlEXz
By5Mu9PqstwT7oG165DUjBVBBwpclGvoab+xNFlcuHZP/s7Z0ZQ0DzaRXIR0FgayOE2X0QZYcIg0
PkJxRSV1FDxCe90V+YRKgql/Pv8NTtz1tPu12ateUIVZZrLjYOVZXFXhJoUicAML+klvwulxROx0
rYxsbtw25M6qcO44P/CJ2dJ+pv9v6KAXaHAefxWlbhK/yYh5tDBrNwbUO9cYqnDv6IrhAgUNsQXI
hwuDnkqhKMJoVNDAHaD0Of+qVzdVjVuBH1RkE0VnVzugSGnudlaAwNGUITYOTmfme6doWjbdrSKy
WYq9DCPa0h4Ax/MrcOKk8Vuko1M15fZaZjYtUC6ghIa/yUxf3RoiHz9ana+7uj52F9pQ8xZfPHn0
nkC4IqQA+H9ZvCeo1JwXszjRxMK4SrFS/KanZiqQUFbFLvOD+HekW/Uu8NFbW/dZVR3OT/bU56bE
x4cjjjOAxx4v/IAjL6D5PNjQUjKuszbXD73Zhgfol39K7GnQSOkuxdUn7muqXkyb2FqDYbr42GIg
/YX5TycGc7qdHvndQQlb+wBsONm3RRw8np/jibPk8M6ryBjyFuKCezxHC35akUnUeENwCRs/D7Ot
2aDBiy7azxYs+U2M5d2FN+LEJuJ14ABR9jIBUCzmiOXkEA0ZrRKeX0wIjV7uEl0Nt/og47vz03uz
nOQmKk88nWtpaS/w6ddnp6SHNpGlY+unoLdCBlbvsA4s0exU8Ivw1PLC1N4eVrYqT5EgFHSg0C8D
NRRJtbRMEPYJjBZZItHLjaegbrsq1LjEDUWMh0a1nI1vdmIbt1n+BS0zOGxIm104PyemToNaU3kQ
DY1m4uKyqvES7dSGKlSu4ohkqEAIMVBBz8yGNLc9v8xvXsV51uDaHZ5fSj324qREJbeWj7+Lm6oe
OjJI1Y7meiwQhrlw/5weCBTHPJBuL8tJaUMAg5mR4iIN6x88AbYwS3CyPD+dt88vGQwblK2JZzhM
9EWxKFcFBqezrLjRVhBZK7twJVDZm6Dzve9lTU9Wic324GSj/wjwq/loYMb7LYVPt/XrDqWVzMFS
2wtQ63BS5I/iXMl/d13VXtjeb07v/DsJelSK5ZTMlzeU4+MuOuv/I0Q7ZFeaogfPcH28Jxu0erQu
kCv/lo9ZsUHJULmwRm8O8Ty0rtJL5H4mAVpkJDItuz7DoNvNrcjaV4NjPgyNMA6tEtdfzn+OEx8d
qCBRF260Nh27eae/egCHyYlNzCLm3ujoX7UJttGeUMLH949Cf+qlO2fNWcHxKJPX52BnIraWp+UH
Zyrb67YoLnXaT8yFthEtFfwYOTLO/Oq9msuEBCj+P1BVlbY09yMJD/rHMrnwcp0a5aUORUau8lYv
5hJiMsy3QdoMtoW9z0ol2trI61/ILU5sAdIncl/4J7SVl5wjHHZbylLN3IUK0wNKFfoW9b7ErQpI
gec/zpuhKHADPpz7FhJ8wmyU+XrZgP5B3MTK3fXHodoMhh4+xcGUUVhL/Z/nh3pzpkzqR5wnlbqo
ThNsMVRvIBCSAKp3/SoSVwhge5sqlsEeNQBzXaMZ/REJvS9p32ju+YFPzBEvUJIYUnkO9Uw3ej1H
NIDiJkL8xe1jO/yYZCjMGEVrI1qt2Rf2x4mhTEIqSWbPySJ+Px6q8FXf9muBwSzc+HXUdEgoSLLf
69aJ4nFzfl4nFpSOHa08QHi25NY4HqwzEYXB495xFcqJ1ZrZ2dcAFMfPgWfwMOK/VjxJ9BlnKRU/
ee81ZYLKIF2ziQnpBS2jyBhdziIVGF1UsF9Cj4Jk6uO9DSuye+9dzEimpPbLVSVmx9bjaU61U6vI
fsM5iBT4BnUzjPBjm+DeaHG3XtMRsK9R4kufuDm7r+eX+NT3JOsG1kGhj/RkMXYoO4zFO/gOSUrI
j/+JtdE7Cii6gBh1fqg3VwvTBBbmmPTq6bQ7+vE0PSCkOt5rjgsLWhwGdepgN5n1t/OjvAle5qYR
AFKdKoIBV20xij0INEeAb7iE9tmVCSR8PYx6dgv2Stv7Q22+f5tYhPmoc+JLhqTT4omRYAQq6tnI
OITomFqwuzb0v5U92kLywjtzamrA5cG70fd9i3lD5EILVKXFHZAS8lWTI3UL6x293lwjSneNvunC
/fnVfFusZzkd4gM+G08o/3z80fCaIJvjXnWthpLPqhvzdFolYyI2+eh396kwe6TZknFyx1K3YZ+l
WC4pziRQycARxTFzfWOizPRw/ned2LazWA9gJNIA2peLa6hTKr1m/jYPe5B9V3niO9f3u3E32sN0
Af90Yiy6+vO6U6fWGPN4CRBI8MYhw48jjHOQBDnyV+ifYB8H32h7flonLrwXDB9EB/Ch2ot60Ks3
voKo7qcNhicVWpl4I+ITwh0ucuS8cWQL9Kp7RJDkrnbS/Pf5kU9Okm8JegJEE3ft8STbHDMqe2SS
U9SIVdnhllkA38Vmtisv7al5wY7yc+psCCrR22c84oBFfoFotSE1f/a1SYFLIjcgDth89rsYd56D
aZfpdtQ7b1cawCo1C1lR3zGy979jM01tRjVwK+GhfTzfaMJqvuBidccRIFM39cZVkgnhyqwzvp5f
2lMfFUAMtTgyOxPY9fFQfu/0sOORQNIMCxv7EJphSz8ZW8YIV7EokmSz6JkhHRS/G2vMSkuwY8hW
zcdkyXKhzQZ0zKlgzEnjV61V/da3I31HE2W6OT/JU/uHWJ5KKtAfgKDz5f9q55aGU45+20CQLJxk
NeH5su/i/Nnse+fCl3t7C9LXF3PFlusWSOIiKOiB2qGJi1NslAIJzEMrc2VfGbjY5uZNg1LOhfHe
zozxDAv0C9mwQ230eGatmcdjMetcNn2NT62d7FF1+jiUxrB77xKS69JRMFhFijgvPuyvlhAFEks2
hcSoE2zLXvW5U7PZVbW0Lj0kp6bE9Um3i8Ou0k04nlI2Ojoigpi2mZD7V+xFTDRLFJ2ohCn/YFK8
WST5FuGis+yrYogSjaj9IyiJqN+BfkIMYBGxV3jJ7btfYlp4JEjsdN5jyjbHs4JRNVdCC9PVkbdy
49oI1hjg1cATNHPz7k8FPYBsTCMYptW12BOFUlJfnhLTlSWSuau29cS+0LL8I+L2/fP5sU7s97nM
RpN+nhYgs+NptWh3oj+cmUgMW18Bww4fO19gjo32GM1qXe7PD/c2SgPvCXqPec1tyRey/6tdmFgZ
RhmiN5F4rD1I+rhnR1YSvrfExMXPp/oba8XJWkzKSQ19pOhsUn6gIZnW3owiqeqDFzX5HoAf/Yrz
05pToOM353jAxZaH3IJavcE+FDHawsLAfY4iB/39ZjJuIcqHGzRCigtrOQdHy0HBN1jwbNT5RC8i
B9QqvaHCxdBt0df50Ey1vQ3KptvZQxBukfDN1uU0WAf4RMYhzcb+8fycT+0cWJbUPQglIPgu7mTS
QMjloWG6yjDNutVxsp7CckQHdtYFrmxxAS4zf7Q307Vh3lA4IAs2lzdz3nHy9JEDqFbyW+Q1iolt
ay+v7NTOL9XzTg7mwOI0YTrAz1rsoJIENdZrJjdkCc2b3h8O+KWPe9UT0Xtb2mxWzoRFn8xkeur8
mV8dicxq+zSYMBjv8fWDR6QjkDD1tasmdnXPA44/QJn/g2duJtLMDw/vDgXS40EbJNhqO+KElGMd
7+kONa4zoO0D2FusuyZS3397kv1RJaFpSFlmGeUaswiTFjLJokmLbWdaELOloRwcNQ8u5LtvS93z
gs4UKEq+VGeWd0yml0lfhWwUNJ+cYd2hyYMybDd5VwYt/FvLKpWHoSIwUoFk7AdRNRtkZnEAJMO4
MO1T1x2bh58DnM0mqDheZvLV2Os6nWkXY0RXFgeb3Ar0C9HRqdsH7ZYXJOOLxujxKEpZByAhOom7
km+7ZFTxKg70bmVkY7c1Pdm5dZhZF57e+RFaHkdKJ1QuiLap5S92kFFiFiM9k1y+wNDYgiiPcqRi
7rEfVNbNiIGhj+HqwQmw8X7/xTNnEhbYOXCGy97umPI2VqUuXWkHKd6TGcpY3Rhi5UQ3uUO0mSpj
fGHMUx+SFJXuLrmayQY7XuLcGBWMp0fpgiZCeFTDIAtDP/UCx+rUrfN6lMWt44G1DnFvp8SH5e9m
VOpu1XTOtA797hJw59RQlOcBCxBoaHT0jifU66VqTyFyp2qjo32nehNaYkD4s0KGm/Pf6y36jfWC
l0zWyf0G2WTev69uuGnATMZuVOlWZtCq7jDM/scIHNpf8XHNosOIudEfDWes+xFEH45csdV/s2cS
4/kfcuoj0vmCKz+T/IkQjn9HmOltDuuEjaPDgeiaxsL33p6ezo9y6lmeI0S6peCeiUyPR+lRk0jz
gpJwOlqz41gQKr/KOtWfEejBpJEXWms2JGc4q4RtmuE7gAjmP3ibCQtmQj70eFT+j39DApXQycfY
dFOnKVxPZk63wiEUZYsMyXU8oZTMTy8ckZPzRurgRYsAdPFidZN2SMvYZt52mOJanOYN6i/WdChk
7CNPneETh8v2tko6CN7gwqcL45+KRwCggRlGJYr7YXHX/hdn57EbN9Ku4SsiwBy2bHaQLMtyHNsb
YhyGObOYrv5/Sgc4UFNEE/ZgxhsDU13FCl94Q1npU2Lj7BqUlWo/daqi+qi5tIcIx4Zjn0Dn3Blw
aztJyDAMMYtr6Hnbv9jWijKEok16OyDhRb3MjKrH0ZvC77e309ZBRWnLJteWamrO6uZJNbfWEf9D
Ekf1ItwO0d8ZDQUVlcixPt8eamsFqV16ANKhAxHRXu8aQ8fDcBi50u04hGVroRBg1wpW5jXo/Hbi
q94eT9P5H67fkJcDyr9/sYKVHmv4AbNlEIgb3mguYumGMNEZFG6OmFGD2qc3ZidV69y3TZ19d8fW
PtpeiC0QxgQ7D9rWr+GlpiQPioa6pL06uHartGjzkHYtTdl8T4GSdQd5r82HRLGK3wumX9yPTYu9
9eKUmnpKwMs/zOYUzlBxFXbZvPTdHyNbaPWA7CG+l9GoZq7XqDOE5k5E+TO0xePUUxXtW/thnirn
z6/Hq5HWB8iZYjWpGEnTBf4LQpJEURPZyc029jOjEK3IzjAzWj08eNwsqoGaPxJfVn4x25nIE7Pv
oMOufGd/bQ4FxlCHPUxCra+OzmKV1SCEygct097PaLjc11nzaTGweb29kzdODpc9XRZHZu1kDNcb
eUy9Cjo8xQGnNftTPuLNqYJ0uzhu5iDG4Sp/njOAxaHbwUVHl91cfSqRKm5tADoIRgdGTdI5xmHm
hkUEz23wSqiy7LOjxtNewW9zmtDCkAkkS4a9eT1NbfR6pIeJrK1qwVnbsLEH0jTyzGwJH83WWnaO
5MaTQueRLr4s7kC7W33AtJlb3O0WsjAtHSm3VMvRagWCOhyJ8uCWoji30ey+HROzO8ReLnbGlyd+
dT9djS832Iv7KR1EXy/ciMFomssFW6wMVoHu3vctsH0DyPjBmtFXu72XNgJrOrxwJohU6ECs4wdX
jabSnHInSKuuvsQOXsFZpQItaLz40oVdfmdoWX3AAEHfuQC2pkt8REjPXcMLIP/+xXTntG5R5a6c
AOZ3fOYpCpFbTAyk86r2cclEg3Nk88egK+43QhVqZ7RC+dir+w0sR8YrzSFNXWqE5A1F0Odl+sBN
uidLsnUfUC2RAB3KFmT21/Mr5jY3hpkS6GJH0IsHxNZnBHlOAw2FnaXcOikvh1rdcvNga4OF/lhQ
LVLSrkm1S66FCNPVJr4fWuydbm+a19QuiQhgsUz5nlIQXd1AThQrHWU8Ms0wVH43o43Je9Z6R6cJ
KcyES1zUB7XtHGxI52F4UxkKpK5sTggpUjzTFegn/2SRZR0MgCAfMSx0vt7+hRvREttKNSgLU7tx
1gBl15ibHIEFJ4iKUDy0RfhzjJrm7vYgG19YcuaJ7mVBivL99Rc21UbUzigcnAIh72FLlJ6nrEYy
InH2mMivdQSomb4cS15eL04L4tSTJ0Ikg2zUBquD1y6OFih2Of/UY6/7nTTAjt4hh+dgm4EXwDd7
7MwImc8mU5BWtnHgRGE6Si+Vi3wJpkhqv7MHXy+GFBeiL0TJmgdwfZE4noI3HQCZwE6V/h6p9emQ
4wqBc1/j7iSurz8umQYvEswmCjykANdrgZNlpqLfjhu3YumPY4orF7Zd/R/fjBSciRpk4i8jlVV8
qtjQuhYlJWclSju5qFTfoQ5NiSfLEYXt5rr81I2jEeg0H/4UUkQqRTZH/EWXlq7i6njhjGFoNPWs
IMT04tJpeo3gUIMUZp9nwZ/uYYaib8b1TwZHdnG9liH6+EaaN1bgeGX+FhFu9bKEosC+XvnyFyOR
UkhmkisHvR5JgrEnhFX4ap7Sg5zG2Q4qtHKqJ83YCcVePy38/4mPiBmIWF7xBtSqAkOeh2bghGV6
ibrkG/dZf3KmNCXkz0Y/b7I9ssLrO/hqTHP1zZpZQbCjY0yE/IcAS4oEtwq9OSRTHZ+SDIOA28u5
dQhezHG9PZfJ60faOozXYIe2OHpzQkrUu9weZXNWvNKy6E7iuZabW1r8dcrQAtc/jBmK+/g55PWA
GGa2TBfFdqPzX4xH2QYKG3EtRLrrTTKOuY0cMHKCMVadH7SZLoOrI07U4EhH47fbKyO8Dn/4anQo
qc8QYwLFvh5P9EWeUDJlp2RucVItBPvCeJ7eQSDHYlMXLiwKOz/rrZHuPB5bKytZmsRcNMNeZSZ2
26Vjl3pmYGV9dGmRIT7YSl+CIVXbO21Wvt1e2I2yGBxVuuc82dwoJEPXM23aQW/Al1uBHivhHcib
6j7EushPU8RXDSsXx7CLGkTzY+WHa5RftUzdqwJuTRn8quTI2FLSbHVv85LOreZMJOA1lq4NzjCR
n7iKddehLnE3K9ke4uf1m8ScNbBgDs11EoTVnJXZG4cKvk6g6FHzZhDOVy0U2klJin7nNG5OjcEo
B0ltoXWK1OSJLZqaYgZqYfVRHZLSHxzUu4Q95W8qTY92ds9G24HRSNRdipwYMa6jZwM7hrFCI4V7
W6K0ogGTxcJOKasKHc+QpL7Llcg+aPNovkPFrDsXXqweDDvzdh6QrbuWl4rmMfQnsFrynnoRmOjg
RHsajxYRNSrIrhvxR69qwdBIrE8DZ/sCdUfpd4bd3s+yzuvK7j9I5etx80zkWaQLKxBt71FTbjv9
w2gZ+V2vJ8VPQyjKL2tGRCHHY/ZJd0JxnkZl2KvKbe4wgA6SCYecwppwa+NxMS1RbQWTl4lLUWXx
tzAXH6N80U63D/DmSLK8gC4apm9r/hNEVKoBIeFI0bvGhxDjjQdhKt3dQoFjZ223hiKolyeUeiON
8+ulbVR0pxWVofTZRDgcrQAcctP2NCf53ku9OZS8fcGLEqiv+fNRrZjdmHArpWRh6FrX+tcFL64g
tIfk5+0FlBvxOr2GyUDnmtgDDAySvdezyvPebRcsTQOIUu2/ukh4X8x4j/m5cRGgmQPwFWSohCut
1q5dtF4TtOeDdIzboy1a55s7tcMDBjgfehHNO5PaWD+0niSoFzYaJdvVcHo+YiammGaQzzVssMx2
4ITgdaJUYtzrhG2OBRcEbK90Z1ifdBNzObMoE7YFdJCjVunOfW+ZPwxvyT7f/lQbrzLvMekbCboE
Ka4+VV/SSnQcYqlc1IZ5whclem9r+HD6uVhaA61hNwHB6Cn3UHnHnd2/dbNgUUhGBwSe/9YxSGdl
et3NxASj6qSnMTXbt13SmwF2e/2nPMsRTXDSLsVcWLPuy3TAI7dCwOz2EmwttjwU7CJEkVBQud6t
UxXObjsRLfeK2eNGrCf1PRoXRQMgoe527patTSsFVP+vuked9HowetT6qIYFqU7mEWalNBf80Rr7
Uwt3OAuspVHmnexqc34vhlzlzlM8D24/dxggmgNK71oxHXstdt+FWrKnebm5m6D3IdqK4Qjhz/Xs
jKlS47whXZzwFUoOpFvNeYKudLQy11F8Kt3Z53By2i+KPWo7YdfW2AgWuLJDJB/s1TRpcYy4LXEd
VFgJPHjEI8dI17A0tFvjSG1zPIqo+DeJ6nznk26tL5uHp4mWK9U173rS09IvA/VZMyhbRz07Cf7y
ddVYD9RbqvOfb1XI5DDEnmnI9mp9SxNxk8WmHG1X/a8SE8Wnws67MxwYa2dSW/vU1CiuE6p7qMGu
ciwFYwLk7SoajVyuwdAN5tMwtVAYZ1XK6Tg/bk9sK8gCLEPPH2o3bdx1gWcCRZzmEizjNmGM5X1b
38VNar2ZQr384VGs/TRD0QsUDBaDRBmt98UcTUFWJXttjI3yD9RbrkNZ8peTX10HiTfowm6JL12y
BV9plfmhrkCyL632ra6XmtK8nbxpzDa6K0PwnZ5aqGwyu6bGmSH/FeXioGH+e7i9QhvBH1ckxAT4
SODs1py0sLIsEY4835mCqIoHkzBQVextuoiYYZjgqaEvuaervfGQXw26uq3qHE3DkBqvpO0Mh8rR
u3MICH3nGdjaaxLQY2ggXYASyV/xIq4tQi9MxjGxg6TWvwgnsc5L7+UHS5p9hWr5/vZCyuO4Ck5k
iUlWwhmQ8s71aLOij7DlNDtQw0rz1STS/RZn18cEl8RLpNbTMUpH1Tdian9jWCRPt4ffui0siw0A
fAjaxxoXbHnp4AClAaCVoE8ZdgmqES3W4VaCL/ffDAUkAvQ4ccs6isAJuOpMidetq3i6oJBeHsn4
m3epZu4F55ufEIIJFSfvmaJ5vahWmNUFgqJ20I4JDZ0y0t81YtQCVPjyABewPdjO5iq+GG+1MdFm
rLsR2fnAq5X8tEBEOZDCLUcPG/Od53NzarTOpbASHcd19uO6czJ1FPSCqBvDN9QpcpxDMFiRjjrN
8NYykz/WFUXogGIapDyuIdgzcvIvzoNdULCLe0r+ELudQyES3W9CbM29FHvK21tk64C/HEpO/sVQ
TefhrStcoA7LaPuJJkTQNeWwU0XeOnIUmGi/U0WmKrI64F03aG3KgQoMxeukdjzGylmoefe5Hqln
KyYAzGsvxJJ+qf/Vvanbg5Bs/gCJi5R1XmRGV69Zh1Njh2K9HaAd4o5+mpnGwRgG73dRmcoxLTnv
tjEoJ0WJ8kBzkz1VgK3tipUGzTCeUiR4Vm9KZSJ6TIAnbzhRzr5X18Xou7FrfJyWJA13norN2UrS
EauNlMUaJwmLNC+tkNH0DpNlfG3EuwXdzCDu0aayE2l8SMXiwak1++1iTXu9mq1AjE4BpW76VhSE
VnuKdiAuohbXuebFReqrY/lNqKnyUbPC/qSPfNxswGu7Lbpu58LbzCekhj+VL5InoOjX23ly8Att
abkEniaWn4M59ScK8dXFrQbv0qCT9uAoVevLUgcwVdgfVFPqvW7G1pmSzgV8ab65veYIGUoHR36m
uUwN612Th4hfRuE4N39xL9HyRNBVKlrANL2ea54iFJKqQNMttfvPzDFGi+s69afc7I9UKvbo95uz
en5IQErSq1lv4TJ3sYifrQAzeTzV8A67t3Hl3LmPtraujACotcHxJhi8npQSdV42CRLfRo8m46D0
7fy2zRGxPM1oniX4HOtRfeSgI6ZKiqxFgXDy6S+AjTzPdBpp0iD7g57H9c9A8RcvE41KW6gt0VeV
lwZvu7G8Vyonx812cnAPEfVJdSvDNzG8vxi1CHdg8fKYrOOUl79hfWmqaZNkHUDOZKbTrCxx+6B1
hX7BeizDh7twL3/+FHBDYfwI+IQttVp6W0ym7USUjM2qGi+V1esXD/eBj7dH2boJKTUg1AvjhnFW
J3SMqVrScMSmCwuNn2HfmIXvFvmQ+N4QDnu4lq2ryDVlLR7CDZJGqzXUhNNjckv8qhhpC+HU8vT7
Ohnz+ODGBnZKvZbAMCjtHi/qXrphBn8xW+IGtEe5DJAqvN5HZjsOudK1lBasEXPhopsvC5glmA3T
uAO/kgv3arvA2GCiSGQAKbseKhtnu8Q3F0VwS8V5EBN77+AoeE32QDuPuLDDbZqLPTrF5qjPnWGd
/sqrTYP2cIpJNvXLrvemu8rOPlUQ0M4q+gxvlBGVwL431Z2Lb2sLUYSjEPwMMFm3vyuTZPS5OBZX
k3jbRuryWRuS/gL5dPeS3br1ZEBL2d3QqMOtP6AO4y1yEBnL27Q6VWjqvB21Kto5elvbVGZsYKFA
B7nrGQ15awrUgtEfpIXyn1V25Ri0KMuf56Q0AyiGyX2P3BpwoXzcAZxtLiYS70THPCQUoa+3jSki
PbbgwAWTiAe83XPdD1mN+6iN9pRItoeCzUAEhMDWWmnK0xpwexFlYOTjiuPs9P92Uzgc0UjYaxFt
jEQ+iRcUwvy8xOtLph0njKIyAJ8OptUHZGPC+2F0Lfw9bWGc//iII5dO9xtSMMXD9RXTRdowGVVq
B/0cJUFvagoyrO78Ns7ILm8PtfEiMBQYJ7YIfbY1Ldc24UYZKTWSqBLK7xQrB9/Q9fi7aBsHVG2x
h1DdeIxpd8n7E+9gwqrVi+BoY5aoNleKVrml8m4sFPVTHaKR5udjV4/3aVLn7mlyWxMC4+LkvjKN
89fbc944gM9+R1TCQYeQgV3vTzePDIJlKj/CtNPPgyeWYwdj8/ftUbY2DIV9mJ4UVmgprN77diF7
RfKQa0wLcbvrx+RnI5QKd1g92smFtoaCMkTdgVyZO2y1qHnldZgITmbgenF7MdzGfiojIhsbM9PT
n8+KtwctuWcTkHUla1apLk9wxQJnqJdj5IXxXSZgdQsnSnaClY3PJPsUHnrwHATQU9efybZbAbMU
w6DBSKZTnOTOOXGoatye0MaGJBjj6qeDJQWAVmmcKVwgJRInRIqMyDRm9sd5nElxpgynkWEsfnpK
98MMM+tOWOGfowyBuGBmQIUDpgnhxPUcW9fJw4pKK5onXf0OTyTUdz0xHnVt3ItbtpYTMRLZ2cIX
S1ujkniLektb6DUlra5d3GYQxwZHv53l3B7FhLPrsU1IT68nFDZZX9PRNQkMqvJChKI/uHDqLrc/
2saGJ+sGfCqvLnhl68DE63FUa2ivRDipAQgYcGytB/Xt4KT//vlIcGK483mtEcJfzadU26pHj4ZC
fGeaj2o565dpjpNDZtPwvD3U1k5E3A/FAmTQycFWQxVlSWunI7AstVzzjQh3Wy1U4osSO1/hycam
j3eKemnFlJwHC5O4nadga1FRGoR6ydUsO9XXn65QUihZJcE6DGH1DLnzc2VWVDJjY5m/3J7q1i5h
DJxV0WWmmLiql6phmRUFYgKBCUNCCsvPiE40GK3vTGlrSV+Oo19PKav1sYEix+GeO/HN6Y3kbpnd
Bu5jmp8aB0/3oaitY6xUoT+N3Z6Nx+aKytQHwDJl6PXd0qe1PfYdT8AylvmDjmfFR0ddZt8KtU+3
F3RrJGwyZVQJF+WVkN20LDRREp1+nMiyS4nl24e4I2lHNtfeWdON8Jz5ICBCaCmRgPLbvijvTd7k
VnlH6w8tivyXJ0z13urV7N8IfMM9umfFozUZw18ceHoUtHM9ace17od1oCbyFGnNYE4zw497eiRD
GfYXD+BBcHsp5ZW7SnrkcyMLLYhAskVX8zO0ul0MOJRNP5HbZKHoz0lV5W9iwwlPbW/VT+jEK/95
arZX5dkIxvAiQBCYUaUv42roVtfrQYljWp2Zrp8LVMQPkOIynzfCOHZq2e7EmVtTJeqjtCFJafCO
r6eqJHY/Y4rLMcx0625A8wcD97ANSiPqztU06z7m6e0xiXtxvL3IWxcAvEeaIlLBDS3e65EH6AnN
wtELGK85eNMUF77qlc3O7b01DKGtLN1Rf3ul89UUZpoUtWzDZ4X5b4WrwrlGaXMnUNk6EUQQUp+V
ZgUzup5MG8MrwXicY242T1WRWee6K5SzUysl4G2rPqShUu0ciM2Z8RyxT5HxeWWj1ddGp5sJM6NJ
mAejDi99WLxft7/S1sR4jFCCQ+Gd8tz6K1VK7NFYQm9GV+nAVGPvI9/ZHQjXOz/Ji9oXVSJ27peN
mcnHT4J/oeS/EvNF+1qt1FmBDWEJMfhOqtZv2imZdkDa28NIdDEZAADD1dySOFIaJad872qd8rue
rfyzVjvLn+9zCZkE6i6vEyAM11sjLgx6FBmcfqe2lYsdKXPqN0KYOztw451D01s681FkA122moxZ
DJWaCrpylpOaj6Wm/AjR9UW03rjPAWi969vhuzrh6qAP7l65ZuPpQe2R1pIUrUekcDVFrQYjUYSR
lGWLvDdl16Aza2b25LfaZDp/sTk0pHklzYs3aN1obVCubs1Edn2K2XtC+qYZTqqoq2nnu21OioXk
w0HaJfi7/m5DF0UzaEsnqJr6N/di8xF7UVwOlmQvA9jahxo0AbxWEAtE9ux6JLNTSvQSQjobRdOe
ECoZF39e6nmvu7khnweYlnKT5OxyZ6xpF/moUsVr+E5qi4xlPevxw1CX3TGZneGSVzD5gnxcjKCx
E6wUpyHSnwbU+U8JVfro0I55Ay3SRsw7uH3JbO5dUMWUVPB2obhwvQAacv/KIuD66Lyq37M2Fve9
oqvfKCNN7/Mp0tx7aYWFEpyhZsnBzoq62Ym8N95d0C+c0+eSLhz4659QpU0z5lkL7oIU4G0xFgJw
Ua36aQuBuh313VB742IFlY+gCihNqmTrUFtLrFAYlDeo4cbuXdVXynm2RHuw2Xb/ICM4HfQo6f5i
T6M9KyFp0tNrXThWoSQ7SgHEMOvs+Ys+4lTrabn4XpDP7BzTreNDdZp6nItNG8Cp6wVtgTznSEpz
J+gIdfuhHjr/ZXpelGfRtKp5ur2Dto4Qyr3QW6VrDtCE69EGM5rTKGIHxUC1s6fcrZGwNhtn/gvS
BvkmKg3Aidgl61tBoAujkEDBGFvqd06ruT8bdH/+uz2brc2IMIJkOz9Xo1eziXrba8OQK06lMvwG
VXvtKYQceIgTXZT+OCV7SdLWxzKpMsryA5WbtQAWNs2RB4QQLQSvtU9GAaguzXpxEmWY7Ry0zaEo
6BBX0w6lPHD9pWhUDxpWGvC5FfzFut7ILu3QDMfKjfewTVvXCu3q/x9qdaaN1nSqtvFQezNgK/Q2
XQt76r/1GGci9Tx5/rhoyzE2294vUqfe6ZxsTxTXQBV0IJfuKpeGPKpakYIklJom3YPdYVgbp3N/
EmM0/sVZIx8jXKKayXeUd83LfCwnj8Y/jWJxNHR3ydw1H7wmK3zHLoadq3rzDYFnLHl1z2nt6vul
UQWMvokAGjVaaN21OZnsQVeH1vMVJDsRZW0ibuopoqL8aC8R/ilYbVSNb8+29g2Q/3TWy2b8Nfam
Up1un5utWwCaO/gAqE5kUasP3sFryjVDtgLMov48V8A+wP3+BY4GQw/KaKCfZI5oXK92FNehm2mQ
6UWrhUfH7P6t1Ea5RNryN3eoZEkSPAJKomJ+PRJR+WSNOmhJ1ImxtrCLFs2DXNUwIs1Qi94RJdja
sNDXKUUiu0VmJv/+xS5ynajypoLOP2bXxTePUuElzVX9U1G66U61euvxkxIoVA/QJIB4ez2UCtUi
7gsJnIFcetTJeoPSHSlZY/3nj8443St2rHy+vTu2blUpAoWspfT5W9cltbmMTbg1dsCBjx8mq3Z8
7te69BsUr4O6G/aAcpsDEpeQPD2jRlYLGmK94BbVhOId5umIgmjej8aB6zN0RvxPXBl7PaPNVX3W
RWZnyHGvV7UdWsWbVZpuEdaFj7nRW581pRCnYTFydFCaRD30SOLthZWbp+7FsKsbwYLs2uPcxDU7
qvqhTfKa3li9x/PbXkweKBAw9DnWrYDCsBU9ltoOJckGWaelzVTRUKA+wHZJhgP5Ierot3fM1omQ
Wtrac97GjXK9oFmbdQPAH7qYsWk/dnNhHKPRdN6i/J7sPItbiwg8FKYA0RLt2tVQkYrhyERHKrBE
ksV+oQLt8pFP2M3VtjYJtS1MmIhk4QetBpppQJVaAeW9Gyr8Pyq7X06hNjb1cdJL2h255x490fRf
by/l1lvsAIt1wCtgRrImPwlgPlFGkhXEsFvOqdv3/y5tCjwjTow3lqHYJxsoxUGHbwMV1vR2LpzN
Z8shmJK6pdRM1lk4Cm92SXIOxF0fhUVuo1VPVrxII8Cx19rANoT9CfiQsvimGMFijqDlR78Wrlke
7MFKWh/nFAFyW9WLy+212fokQNS5mWTQh+fc9TZDUpvvnMvoq8qNB9De0YkMOgu8Xi1Tf3EaLTDQ
o9pZks1RQXbwD5chENTrUeHgD6PoCTJTQ5UFxsr4nWZT+galx+WxSqjG1d64p0G6Bcjn+tWkJp4q
aY+rO4rGFIZTiO8FMXiwE3Ju3aEr2/gJbRjnEIMs/uaB4HsoefcwjFBtwoYw+cftUOe6vehbB06S
k9gUALLMdaygO7E9qGiCBuUQh2dyB7SaVGMvrdweBWI+YsNUV9c8KGXKAfYKUnt7XNI7Qx/zBzu1
lJ17St6wq3o1Akk0fknsdYTEV4s6pYphtDJf8Ma8owhj2+d0yqbzmOrLXS+cyq9CNPLttFbPt1dx
QwRLNtChWJGrAOBbp7GO0JCsrTOXUTPxpLuKegjzYv6CcPwojgpccHHOMkOv/cFyxwfsTTME/eQH
LybryWy0dA+Uu7WvSZ1IqwlhKOutYosqbBB96BwnABg6/zAmVU+AgrlYueg1Grj3lb042EXr+l+c
J1JCiqTUs2n6r06xUrZRhtU6avlFkxTvGg9TO6E41rusRQPSR2ZFOE8UZfo98+StCcs0Q1cp60jz
yOuDTJyVWN3IhMcw9Ky3eu8473UcDNX3+tToT9nct8fOaoyd/GbjQQb/z40FJlfyd+XWfxEumnU7
p1DO0Fh3tPRdrnN+taUofnWt8s9iDeXOcBsPCL4H5Kc4aVD+Wwutz1mVNVSl2GjCsJ/yuQ2DCd7p
d2OKhXEwi2X8L4swufJK6Q+/KHtK1FvTpVbzzENgn68VPee8jRQ9N13Zmg1rXxlQNfAzCqrfl1Z4
Mrxyl187h0umiKtzTToOPECqn1mvDldbzOixtL0TTF0df+maQT87YxY9Qc6xfyWZKPzZ7uvKTyzl
hzEbfYCIv75zT27cLfwGsDrI/gL+Xne/OzvFh2GaKYM65XJu7RrpAehql3Bx8Oe2Yeb5lEmKU9YW
6c61thF+kcrR44dWQ8K1FsgQhWWDo2bouUjmD01fu18gtrp32uK5/+0stTwkr5YaaDUdDtm/WeNn
CoMaSIz2STB4dfpISOD9DltpxlDkyuL5XqUo4YcKBLx+KNW0q474hlvGIe+KmKut1eu9dZfH5/UP
4sNTOuChXDeObUXEhcgS9HlDZ87xwumLByrIxk7ssTUM5TIJCOFfTAyuT3FjVYVaJWwxLYzjKpiT
Cuxcky/5x9sLvHV8WFzwXoALyDBX0YYlqrT3DFTKAH9l0UETafNJ7fTQ78lTUHmJPtweb3NeEF3Q
c8DNiOvxel6akaFc6hJPJ+5cfgVsoP5ybLEHddmclYRBAT1mTmtZ7K4uTXV20HQqlmV8NKuUlgfa
3EGjOP17UXt7J2LjqkepwOQYUuEANbG66iuXll+aTk5Q4x2YH8ycQvHJyu00PsSLKKJzpQFlP5pq
Ev9zez03R6ZOTSrryD9Wr5tdu9bsdaQNrpKln2YzjD7xNLAx9drmnS80KoaVMu/cAFuXPm0eKSRD
G/BVsXBoiL+VFJHqevAMAS5q6d7WmR69g84HB1dLDaU5JYkR/47bxIsPdF7nvyjCoFcN6kAK9CIN
slpze9FKFMCpmZud1jhHXS2jb16ZebNvTs0ex2ZrQ1HBAgEEbhZ3hdUx6TxLELQRTvV5nJ2w3sz8
0J6bhzIKfyzk8jvru/VV0fqi0EyoRAdKvz4lrjGOOj1dF8ar8bCERnsphfrOmsvm7M1A2FvR7KE/
t4ckzUUcgPh/TWMJc8UuqA0SJiE2BrxpbODG9+6MZuPifa/stHiDdZK1g0feGlVqBIGoYFk5q9cT
1XMXP7hYpcNkUJkolFg5KlbU30VL6v2wsTk5YBi1K/Gy9TVfjLoOjm0UhpE2oyuhzJ365KEHdmrd
wUWXlh1wINIZdV8InRKGndiPii7MU4OKY6D142Ij0wTm0Y5V4zPL2H2M0mp+xF2gf7p9srduSpS2
pAUSPoE88ddLYyhz1FVA4oN4ipZz5ZXhYyem+nx7lK23HEFveZhdnpp1ItTOoZpZ9IACrBHAMxel
eVAzWw3cUutPfz4U3AyKi7TXKInLr/IiMNVU7Ju8nsBU8wZ8pZXU9FOKX2ekqJKd87O1diAUJNAR
edNXlhqFTUxWZi4A3zTPTvhUKadcd4adzbu1dpKO9YzbBEAgf8WLCU1phje2IQtsxfwbPF500dvl
O2XgPUTJ1kCkjwRROhEQCn3XA9WqJuq8AaymtDTOwswYD2aJulMWEdz/8UfCvQhuAi07cqV1H61c
sjQfJNKxgiL6Bqn87KiDQj9AXGx3ItiNWRHSEd6whCQqa3UDU89MGO1A6ZckCRGsF9mpoqr+Y0FY
/i+GIgMHEkf/gQ7B6ktFAxoCI7ReohynPlPTj49OgsZBl2p7xd6tihbpnmTlSOgKsjjXHyvEv13L
0toJ8lStzpreKIcE38njPETCLykvH6bMaY4dXo5+OEeQ6wqtOcfLVPqxKua7rrTyHUDNxn0Hoxl7
U6kITvN39ZzMbpm3esn0VZE0QU/ZLBgrjfhYt5ODNYo9AdrN8VAEgbFjQ5VeB6882TinNUA04hGF
el+qOx0zdDO+zEZoXMK41Xei2K2t5FFTMDE2h7PtrSYoOgMRxIEoSBnr8XeaVtHdSCRwxOOx2cHz
PDd3VgkARSNT1oM1mfiuxsrGPASzx5OlaNVgH6qepX1UtLZDk4ve+vs0U+z/Er1rRaBwnYb+QmSN
9gsKVg3swXQa/NkiPwwwUoGIPHZO/YFYWHOO8dIWqt9Z3vJUj0AcD/WiD59TOBGlv0Q5fHfYO3Hr
58Ty8aEwlfIxzaX+iKqKXvejCP+QX5U2qZaPub2wTzFBfQT9thmo4TVN+z5favFbn9pc8fvaRtRs
nku1OahtX80HI26y9+NSifqMsJ6hHtO605XAbov2Y5rq1s+lqewPcRF5H9o4bJegQ3xsr53wOrKU
7TssunBcoO+95kaZAikSSxuAJ7h6/bVrZqx0Eqs/N5ZVnj0Hlc7aI7rt01DjOVQ/3b79Xm9cOTqv
EyGQlF1ZPVECL6SwzuTZ7cLo7eTVfeeTfVpvbWvozMMY6+6vvxgRdBHuYGgZ8wJf3xbZzL7RHCjM
Lhfyow0K5DDbRvWkOXF97Ore3bkJXwdc1FVJVNCSZabUMK7Hqzwr1ueBDl+P8RuKJnF/MnQXiwdo
fX6pavMphUW1s6yvjyeD0hxCbxyyLzCN60G9LI0Kg1svsDs7/9IviU7tcbAeQ4DDO2+yvMmvTydD
oQZEoZHiMcDP66GiVCjjHJJfxhzGQ5Eo4bsoVa2dmuLWPnk5ivwVL17+ZDampLSplteYbd/nTSke
EHLKDzg7o1dsoIb0N5+N9hNoPmg3PJvXA4aulisjNzwZbN8fK33BpGtRpnOetsA94bzepVhU/nEs
wFpKDKYEwMn20PWgJVIzFgQfWlJ93H2wzST0RTgUT2Ozy03Z2iEIg0GxQKCUasQqmasa0XeKxbEX
Zol2iTk0B9Glto9WzJ7G8dYJwEJZyqSALOOpvp4VmYWUwQDgFfWYKZeD5R3ox4WfEWyv39rLaPm2
W+wR3bc2zDPHnCIp3YB1WJUsjdEuOkuZACAcz5OWtO+H3NWPKAc0/aExStQJbt8sm/OUmiK8iuhz
ufLvX+xRFXWPvnMBFTZNot9hDTsEMBebh2KG82Pgx3FGpWBPsWp7UFJySdelNLo6fmbvJigigXjp
crWCyt9/Fx5xd6wo/UGZs/GQldreRNdrCwda8mII7eB9c22v9g6SM/AVs2w5hmoVBrZV5YEZlvGh
Luop0Atv2SnNrSuvz+MRtMIE4P4kdr1e2LImtRzdmNd4duWlmS1zDRdhbu4BDrrnts+cBwga40kT
tv719kfdmivT5WWU2juvblKnFnGp29NyzJz4u5O20/sEgrlvm+NdYcTj79ujrR9jOVMKPJhkcneD
I16tbE1ausQ0ko5RqJv4OTfxfVqXanmqu7n5qCp1f9S0uf0Wiil/6CdX/357/M3Z0hqGaQsrjuj9
eqXxA1SGthuWI8UJFxEKKwvMuM/f2kLTfGUWe2TNV4IizxOmtI1JNRar+AZeDzh6E2ZAJuzJrC+1
yzIuzi+ZkJ070WtHcy7GQKkV/SjmRn1jaln8MQavthMRrK9CfgPnxgEHgOAtENTVYznRwOj4yMvR
zL05GEFPHFIrzQ8p9KTj7fXdHIqdRG4AMIsS/fV0lzEq9Ir+yBGVFPFoxrl66ku1/jxM5R7FcWMo
jgoHlNyS7vIaybj0ieV2HcYfQBrtD7ZRwCobs/R/nF3Hrtw4lP0iAcphq1D16gU/Z7t7Izh0k5RE
SRRJpa+fQw8G41IJJbi96YWNZpEiLy/vPeGJ19bB+m1DENYP1RJoU+EeAZxo6yU7ksoCaoPYhduE
NLfsFUqA82J9J0jp31QQnfTS1ufyICPYm1+IBzrSUvzBlXm9lB6qn24LE7IiknaUldCjQWdR0Iuo
Ds0I93YpgEQ4FwBNgI64nWGpMMXAsdZiTAzRY47mBUWBKnzgaHr8tXh182ONlwiyvIF7ctY+tiGL
A23GP7xgsNBGGdUQdAGNuaFpwANEx4Oy7ELV02eL+NZj0MLFppra5UTXsYf+I+haB4PurDNyV1NA
giQiqCjm73+71VYeNK7dEKfA08Q5O4RYJxrM7P2MV+/5/unYiX54SKGHAHgA6r5bNh1vUXV3wtop
SkfEBfgM8Tl2ID/NuLsUwuv1cxJDLBGWHG3e6bk+eLTfztRIbIAwCJtzEwc2h9Ozutm2gtYpBric
5DMn9CtJmiFfyLpe7s/0Ns4aojMeXMZfAjWLTdhjfKgGuIk4BQcKKYt4ox+17a6PfZ/0qTdI9en+
eLcr69iwKgAeHPHA0FOuP2IcDyASQjK9mEEBSwd7Gh9kpH54uq/fBk7XP1kycR5tfOl07dsmvz/6
zsIaoUtkmmDlo9S9udXcsilJ549TAY349sli9F8eCPI2krV9uj/SzjyRmUCXysdjyrQPrue5hHqJ
lxihaB7cuegSt34PGf7lQoIWKB53Vo9WW8ksaNaycINuPNjAv/gZvz+G0PxCrIVMC3YqoKpb/IkW
YQlxkXEpwtql3tkLy9pO8dpzIV8eEvoiUYhIMhh2uT/i3pHTybQDq4zZqnrX4NnEXwdYdFYpdUnS
ZypgcPYxbJPlSSFP7590yBXqV5CtYpdGVuWQChGjylVHujw3fGr7g093G9vRmEAzGC0szA2diusF
RSNcOER1OP1l3J39IZ4Lp7e73K9QM2lIzxANyy785/5n3B8VJ9A1woo31kZ8aKBubWNUxrV7BsFu
OqtFz2+SpVX/DjOe7Hxs6bf7g/qYyvbbQRjLqH9CUxtFieuphpPVJgt8FYoI5ugvzRzzYpZxeLBD
d84CmmfooMXQHrRRsLweBYg+bwhVZBdM9v65B+Y5Q/i1MohJ8oNvd5s2o1kBjRaArsDRgAPF9VBQ
W+ZtR2u74GFcZx6rlnNYxiy1rTh8TcrEKkI2PKFsPxT3V3JvjkjlAAgHnA757CahmmCltvSA9xUt
xE0z2Dc1Z4dGcHZzAnJQHNy5mnHQcDeb2wltm60RQ49gDohMheQDXJoLUHR/LWsynADVZnltz+JB
DWp4nD3g4NN2qEQGhOWRX9BONMdhx6MdKHg8h7bRlUUkBHlysIvAhud1pbl+ZGNFfwxAfj13Agov
B3fyzoBGSsWo+QIGBFj89Zf1YkJcT8AyXPtz95F0FQrbhLQXBju4wsLL82C82/No+IzoIyFpQYt0
a7hRhyjDoeFuF3HIyJPVxhqoNa+ECAMN5alr5vHjIiP34/1tdLt/kecYx7wIKQ8alibY/5Z5+Fp5
Me2wrBqwoszUs+BIb7WfaTu0T770v7cdQGZWYB30AW+3L8IAmktYXHxOvDqvx/Vq5HPLgMvSDWTy
rlY1+rI1ax5Z3dCDI7qzsFdDbY4ombVf1R2iQRJXHLA1SFU2JIhf7cGbTmvZ95njreog+didH8BE
NjjaRlVsgwgJ4BUsHI2vOXlj+QlYa/4zCnCV4DHh/XG0w1MSQc6Iw4HBvE2cpz4kgZLLUGikfNmC
+tDL6tL3fh9Z/2EkJKng8pmOOvDJ1x8NshkslMMKgF85NBmHPOepk7GfRsyy3t/fl7dJhkFgINbg
zBsxi81F0TPoIoKuhqEiV1/6aVSpFQ385MxAn/TYj+nSwiEPcjmgvC9/brcKwSHbh3AtCj5Av4CE
dz3VSfO1g8W1LOyViYtq5/AzHSMvRY3IedO5qs2QH8mHtun1O9yf60mBP5mPQBk0GZnR6DiIDrf7
CSRKBF+T0hr09iYaxVB3HkrIpBe8XyfItHD7E3oiaHY58fBwf+lvz0vs4N7EaxZBAZXSzdYNx7Dk
3lq2BQm8NoOa5c8p7JPHalSy6EZvfU8XdSSrdhuGzJhIKk3qalLL6+W2m6gUDfK6orZKkjeJ5aah
NS4vS93onBk7QLEs7imR9MhX9jbMQ/0CWvv42iCzoW97PfIKJCPhrdsVXUOD1IKAzKWv4vkMx1wn
XZEjvfvz1cXLErEeKYNBs16P11Rt2SnH74qAT3HB7KjOoAfGiniV/kM11F9QxDzqtO/NEbVE8MqN
LiYC7/WYNfJ1ZHt2V5Td7GZVJCjgRRSHyZ6rjHRx+MfBDyfnt/E2cWIKIpl0zOmK2e9Z6oo+eukW
1Z7tuA8PcpPdqaGgB6MGXJx4FlxPrbNq2Zdy6gpf+HARnwPUD9reAgyaGIni5M+Ld5gaXj5Q5kUi
AoLQ9XhLJxuK5wmWcq7JQ1x3/4x1157nAfqUgw6Sg5XcOxe/wATwg0DKvI240g0Hr451W0DtLPhM
0OjPkoixvIMBWC6FE70EcqizuvJ4cX+fmolcZ+rozUGoH5OByhs6CtcT9UFvbhqQdApaUvkKSvry
DH5nfVBgusEVIM7+NgyAINfDkL73FmcJ2gLdfAZJZ0Vyzx/kc1ySd2Xc+o804rSggEJnAwETi1ZY
bX/S0zPM5BTS+tk/ICbu7Si0hZD6oeUGff3NFx7iHs9sFUFmfl2mQlRKFKvkPLPFOp1iqo7Klbvj
JUgRwIc2VdLNDpY6hJ8puDfF4Mb1T26P0dfedSc7GxfJ65Sybvxx/9Puj4hHC25wU1PchKCwkqoj
ET7tLKSfDijrFZqV4uT4CwHgPD5ise/cXZAWCkxFDWIheOFef2O1+ID9hn5bODx2czghx1m8Ju2l
74U62E97d5epkOIyQY8IssfXQ8W6myE/EuPjxTR58adlykXbRR9KyadniH4h5i0amLf7C7ozKtS2
0I2CvKqRcNos6Ig6ZDSPXldAKldeunm0HvioSNYh4c90FzpZhSbVwaDmAG4OqJGwgFjhr8bUVu6x
Aii3WpNGFMqJRhQz/PKlbv2fwejpHF4q0yMNXPLLreZJTk5zcEp2pgz5JtSacJvgMb+VtJTQIFon
DwJmzlTqrBVgB0wJgSq6O9Yfo3BwMua7R26PN3wu3NLQHkL9xzNCtjcL3bYoqoVeH+fAB/dhgSbK
2uag1Xvf66YpL/44Ak7C4R/3ymfAhZ+WSpVfk46wPp9Dyzq4e7ZrYH6NiY4QlQLyD3if6822+Ohy
8tqNjdHkcqmk1sU6iKoI1CCLqYaUadnxI/bVNi5jUOTesEVF0QZIgK10CCRhrYDWTZlHlLafsdrt
l2U45IJvN9evUYA7AlAX1dMbbJ5TJih/jbyE7A33nl3L8v/iSSLz0iP6Mg9jc5JeH6SKse6pHeOD
ALUNGGZ0FDNNedg3SgNm4X97lHpaB/CH95Oc6H59pq336BF7fOwn1Knvn9y9kZARoW4D/IGhvVyP
NA+dN0GLApBvvHqmNGijoE3jWIi/7HZtD1Acu4MBgmPo0r+oTNeDOXPLqQBHEPgKD9o20vHkszP0
NYzslqj+fH9me/vEEG7/b7DN/c29ZGx9BSD5XNbR37Wk7oNalvD8H0Yxr0H0RZAWbbsJFpRDUGMD
0BY5XlTMNJweyFIe5cy7CwccCBrTuCew/68XblWqduD7CfgUKFlnF1q6+ajK5HUuvZ/357PNt8zO
M4qYQPTg/XnThLKXMVFdBWJOg2siA8EYdWIIIyt4MczR0ygUe3J8ADrioDvKO3aiCawuDHgDQCbo
MGzygKkXnMUSYHxoQ7LH2a2d1HZEeIGm9ZI7xFofLeVPB/flNhXAfJFzgd0BtDoC+ZYorcLKpzar
EMLCXoNXMtldChXC9hMfF/Fq4SH7/v4C7w2IxNl0E1EuhRrD9acEh6VkNWSe0HIul7QV4I0mCxRS
4jW0Hp3q0G50Z+tgNGCmIPqJBGsrwzCSpq+0n0AvWDndQ9Tz8ZH6S3iKkKsfrOXuULiXUPNBQIHp
5vXU2nJsknaK47x0pzZ3vN5OBYrQJ+GDwXd/FXeHQoKKsj1oTsBlXg8l5xC5fzNiVpWYLrQn33sg
/985Es+f+yPtXASISJC1gXQUXFC2qY2qrNGB7QuUAoYmfLeM7vAFDWCWJTRoP+LxGj615Uoym0wl
Kt0TORh+b6Jwd8YtBPwioNubkw9SnABGG7BUvnhIUOUgzlNcy3xY5u/3J7oTL1FCQ+EV1SbI129R
IRS2RNE8I5IlHORl4VvJX26d9AdXwN72B+4MZw6kXQMluv5wfdiGwQDplVwNE/+gBk4vjFRj5ksd
Pzjo1WX3Z7X3+QD5NL0JkKah0nE9noa3aLQG6LQ2ctRnHof9TxH07lvENJemQDnXp3CM25cy1OJL
G0ly5Lhy88AzEcZoYRouKw7gTYGZTUmI8m6Sg19vk9MUDGVWCt18B47c/jTQvj1VDplkrvrQn+Fl
I+H8Ag3Sbw2otWM6Qqngr2burIP8dW9jRXhQwzPAvIJuVBBKdPRUuybQd129E8gySxp7UBgSaAEe
HNa9bw4FL9DojOT3DbrJJ3ZcQX0iyVcBYYG89la/STXgeKDj+CH7gOBVHtCXd1cd2CYAmk2fH/CN
6++OGOvFEmTqvOko+1QJlz5Anap/FZSEZ7yFuin1ZtdYpPc2SYkdtJ+Ygkk74P3jioKurbvvdsDL
I8DMziWHQ4YyJsBAuHm29YyG+I3WpUjyeHBw02DNHlaJAemC0mbvqI6lA8xcT/dPwc7HRlyG340p
aZq6zfVqBL2oSY3WfQ76pHkfeNBdD4IR/sHzmt8faufAoVwCKEcIexjsffNTfktdpwCwdIfjfpuY
NRRw1wbIIZQ9SNO1yhQeBpewaT/5gjcFX6FZeX/0nSCGLQa+JGIYnqLbnlVHpKrChCY5kInewwDr
drwOJ3oQVPaWE96dUPEwCjJ4CVzP0R/D1Str3KmgxH9rg5Z8ItiDT3BHPWI87RwdNEQMJtBo3SI3
ux5JMEGQNGMNR8DUsk5ApaaDimoWrdJYeIvq4f767Y0HAjwubzwuwTvd3Ks2E3ywPZkAmKI4OOj1
RwmT+7Mlujbrm+aoefyrp/f7Gx4bBC6vpucHOX6UmjbzkyOp8ZGGJNctqLWMshHSy5HM8EroHxdp
rQ9UxGM6wEUyNe6+KYM47kvjYdsmkwwfdBD+hJKem80hyuaw3JsOFmTvUyN8RDg7+ALoxFx/AFcD
hJokTQL+JPOwnUn4buAIX0AplsX9tT8aarMWDW5MyVsMNTU2v1ROxNGm89jbABITB4d055ggvUe6
C34gOrzbKEQJ1dUESY9c+DU5+2uLJu9qdQfHZGcz4VUEiUjICkCRa6uUQYDtVT18QSHpauG7tmtM
0ohIp+j9CQQlFYf/3l/BnceLQTz8KrHZAD9snnzota5lGEKXqoTB7icnRgUqKpsXq2fL1wUFvzcQ
UVBpu7LmYKY7nw4ZGgp7v+A44A9tdkkXcjeZAszUOBXE1OVpgvb5G58IfnBv787RaCphQOMLaBb9
t/hKlwXFUpeUeABa4T9gWkBRjVp2K6AWLaqvS0DcN9FglZdBqOF0f313pwkfYcOBA65ky2oxnjZe
hBciEvzK/SwWgIqWOCgb6DWMR4yhvbEQ9wzcAhrHAO5ez7OrIm8J5xCRweQJMECNH6u6foxX8Jj+
fFYotZhXILrISNOuR4IBw4x3Zl9C6owJq0CBBzhEPfJOZ7Qe2XJwRd2ASRDzAHMwfiCQ8jHSTNfj
2QGD/3BMy3waOxQoEx6ov0K30jD6iu3UWmtwd8rw86pEAw8W7mdtK/uDDbsTAPAbDMgCXHRTer/+
DbQkPhhfLeYMq5wvUHgWnwTeFgdT3Ul2UM9HQxjlul8kvutRcHFaXdhFKNWN3K6KmNMOFLrACHI7
uQ/VoOBkOdL5UzvUXwuM7iJyTSBZ3a2you12dc18u0RhdAj+Cuwp/FhN5OMf7xrUYv5/kM1XTCra
rr2DQWZPluCW4LC5HSUnLqbp3/tD3ag+/e+EDJkWCu0QN9yEl1pylLA8beIa4T90pJpPrluv3xwr
ZI+LNddnMXnVZ+JWcwYkXU8fZTx0PFU2MO/juHRH28dMbnNtI0VAzQRFX0C/tw0Na6Ke9lenzDV1
qjPKtfMJrnjGaakUaSOOVFP29pERDcPL1HTlt2+VeHHGACYCGM4ltKzTAawinZZ0WcdLqDz1E7I4
ZfkMuIQ8ylB2whBwekjZcVJQr7npHLf+nICQYeVx6QOEBHH7D0w0Ai5Z9eL/ea7xqycOpXCDMdlW
+SwraqbJU7Bnb5wuk7WwUfplopgczi73t9TeBzTt9/8banP+HfDn405OVk5b7uXNnOgTxEfHU2Jp
lbU6dg7G21vGAKJlwJRA/wJYw+tI4CSinESwWFC8EeiKl47/02XzFw4uzef7M9t7+ZliFzoDaPAB
LWJ+ym8X5BhRohwXX2xJuuXb6kH9M/Xs4ZsWUB+e3dD9YB7rmQX/yBTaGNEFsiZ+KmyAYCXqR6g+
+iK//5v2VtvgWlGB88BE3bqFe6WymsiyrVxGCVhaIBeOrwJ2bGkLCYcLmLn6T83YTcSIDH4H70y8
8regjqXphWUvnZWDtqSQQ0cw1NJjX8Dv6s2aBPw/BEPUOCA0hNItakibz8t0ieaBU2HN45Y/VFzD
MSYGzYUZw+v7a7m3k6IQovXgtQD9uW1wIhmv66lCLAQvvPzUVN1XgFWSkxOR/7JngbcEBwIdN2Ra
m6jrJNXKWThb+Tq70ddlpO8Gf5hyxtwjfrL5P23DKZAUwMwDAQSc6WbLLhGt+yXB/qhnV+Z97cu0
tOajldvbhSgAg4GEhYtvJOLxuFxR28EZ9MNlOMdymr4AClimVqPqE6nBib7/pXZnhUowmBYACEfb
t7hlR3qZjPqirjs7n6NKvNNLhX7C/WFuNwSeMEAOAL4EztZNRUWPktk9rUnhzbP63AwAC2d9u3Tv
lhq38kHetDMY8iXwnXAZ4T/bPTErd4bPZkeK1eFr5qkkOdvwqMvGyJ0OEn2Tdl5vCqiQwWUBQAwj
qb4FhvRQFADRwseZmrzoO0hq5Nz2ky1TGEXqCwVm98ERgQ7SNfCTOS29ZTo41bcfEL/AcGRAVflF
XruOpDA1cekkEit35ql5mhV3HqsWuvj3v9/ttjSjGBatoa/fUNe9US2yGhoCnA2BxpTF+F9QCm2q
gore+mg5LXPz+yPufkRkpBA3NviPbYmqXHoYL9WKoAA1JJdqZSXkHoRfUHQ2/vhKx+R+G8pM/rfL
SC9k6hJ/IMXQ1U2uglY99yUeTC4Jy/f3Z7X7tUII0mPTuMgjNuUDuAi4cUU1KeQcw2nakfKDTZIj
8dy9tUM/ycR6Uw7Z0pe08JM2pFBv7diQnGnQ/yCcjCcWwQH6/nx2R0LkAOIeOeYNwGIovdXz5pKA
lsnIJXRK+33bM96lNkPx9s/HAqrfMG9xa+IOu/5MTswqe1aWlYvQ1jkFgO5BLnIuQqD4/rhJBvEU
89zENwLjfyvw6HOvp4ulqCmC8IeVeORhcAQMpYL5CCCztyNwIQPA+6s0sfV5scOJOJ12aQHmqSqU
nB0jWCdOf752RsHAVPeBwN6yTf26l3StBUWaSh0w+0OVhnAsuFR9dRR9b98BvyCjKC6jumwIodef
aZwTOg2qZ8WKg/UsfMFeFquyX1GN/RbElZ1zRuPi/vR2FhHED9Sx0P4D92ILzAXgvHZCEVCAWvzp
FY455A0MnL2DIHhb1TE0JDhXgDVngFubMqMGML9v54TBR7knmR68MYsrS+ZstrGwxG9PbkVYUccO
OeAj7oTfq5E3YYPUXJCRRqwIh647LU07vm2l1BfJPEHSuJ/VwYA7CwrxZLAtcLGhHb016tCTK12X
IL5zKb0M3zS5QMnxyONop8piJPaMRQck6HAANnul6ozGBAS2i9VeraJMYpnN0VAWHeJKFlaWexnb
lpwV6KCP+OwwzHbr6WDv7IQwsL3xComgqWq8TK/3a/K/VngEWluVM+dWNLlnyvoYT62q+np/m+4N
hXc2ojJuasAZNp+xkWi/gRVQQS2BD5d+tli6Ov2aySGO/3yvGo8u1DtBK0Xn0Ozl3+40sPhc3tEG
BhljvDxGuETfwXCkPivcq6/CNkWIsWsYMj7e/algI2aHsY1zjrEmgAj29dgQxo0cEvC6sIgVFt46
dynk450McCJSuP10pAC6u6y/jWci0m9zFaTkS+BjPDCEZdbHYZsl1iAfIVVwhCTaCW6o8BgYCgCN
SOzc66HiiSu78ZKqcFdqf5s5mvyz31TvBPOjNm1QDfwb7zx+/g/7Bk9FtAYRem5YsxqHPqigs1GI
AIhJ/LvmAYAR5zERmv5xDSBAmh4YgSJ0nPGgup6gLc2zRCT4dhOb8pJU7LNrAc8wQFr5YKi9tUQW
BJo1CuRAZ5kY9Ntn6wbeDBIdxwKGDhAqi0V3IjasT+gy+q/rVHfnEBSFgwRsJ5ICX/D/g5q99Nug
kQo8C84fOBeR3T+GijhZz5rusdOaPcaj+lPFG3MWTADFywqMeXD1r8fzKfR76pI2Beh5L5xPuN01
PSMRC88lSMlZl8RHGcXeFHFJoaVu7gy8666HrJjuGh5NrNBoQrIU8phlpiHDTrKR0eDirofCVnsH
EHg3g6EwtjzbAx/WNrESd2GFaqUuxgFmDVYSqWelg59/fhKAujRkQKPNvDWDtqrOTarSZgUo8sFD
BX3qjM2ezvrOkv/h0EG6HhgwoEJuQZeuLocxEpIVzcDIK5o3DJdhMj2ts3NErb69bfGIBI4UiZmB
L4WbL6arGC3xNaoKYNHat8C6ds++EkcOvrf7wlAoUdoDjs43cIvrfQEtibHUhjHlwdoWxH99CmMN
CnpnfxcL8/L7X+r2ZYx+MQTS8Q5B/Rl63dejSWdtE9YDeh21lJ/F2sSnnlivga5FGtFxepCJaqCV
p8qz589H/Zvb2AIwGGrwUAM0rMptMZ5qmBU6M6hgdVkGEO0bl0d4THQf/EQrqAcLmbVdMry7P+Xb
YwDtSRd1LwCSoXC17ZPHdRX5bZzIAu+gMatrKc9wQ7YyuMb9qdM72m1gf+AlhPEA6N8Kac1lQkcr
GXkBFiTcYCtNIBtOZJt0qRtG1QGE3OyM6yoHRvtF/jDsf4TqzbdMEMPCoYaOZumJxwmIs3yFjkPm
RsAL8bh9z0vPuwCn8nB/QffGBdrZiP2D9QYLrutx2wHkTeUChOJVPHoZ7aZ6nULYHZHJ+kC5q85t
5WLCC7by/YF3viRAV4bsAjEt9HI2AzN7WI24dlOQYZguzlivFzfSugLourGPXFd2ZxmjugLmJHTZ
t1JvyptFqOXcFBJECbQstCPTSHL7VOvltRaT+NgmfMnqMTyCve1NE+2S/3VIwR21+a7+PLqowVt1
0Qc2UkE+emdRrvOlHWx+sIV2hwITA0wQxC8cketPqaoAUZRJs6Kxh3YYyGKBNZBXX/TtwTHcW09g
i8D8BUISMINt5BFV0lRW1+AhBnIkeIPy3FtjBzqw63wevd49L26gc3BAjuzYbyMsSgYmwmJgFKW3
gv6lLQYBkj/2q/bZKUiofept6UBllgYfKyLnT/e3KZ63Jh+7PprILwzjFuU5pG1bHWQ5TpLU5QxL
BHgUjV6KZ44Du7i+Rv1KUodDBK60S5qV3rwg6GH3iVwT0fm5NVduTmCvNaeeWucwFZUlPjhogpTQ
hvZEl07T5F+4pUORtSC+9mkEqtC/g4X7vmgXn3xfIpCYsiiZE57KLhECnFhYnaS9HynYm8Ipc8oW
tuAmczllGIfReXoAW6Ltkcoq7++xqQW/zGMZT7mrtKcy3eNfYqAa2rWUAxSdTuAePNhBzWXGe+J+
ZZADH3Kl6PIGohWkOmuirb+DJUge2pDUMnVmxuIzwawLVzNQ8lQ3azdDCYzKwjexLE/g5Jn3ViXB
vpSDA4QSlvBiy47wFCoqEFucEuixpBKKZC+SUf/fCmquQ9ZCc/qfaFqq+lLzTr2WPpn83PcX72PE
q8q+WIDsAFYy4lGZLh3qpOdyiZsPI3GgqjhHNntaY+b4J9+15A/AuFARHzrVPOpKRf5TL2JG08kN
xykrfWu81L0nnDfxEtrPdWhP3hOdV/IZbw333biy6VvLWfMX1K+HbwDr9IDvsGb4m1jwKnys7Mln
edtS+dOxgFfIbNa0T0tT4mqyBzxepGMvr7jI4A+jtaBvK1FbJPUkT773AQns3FcsbLLRHbnIRwHN
69SGygJNVz5YPwTUc3Q6lnJYnhJIJPSZpW33rfKAWHpY17KZMtVoD2wLL2rRXYAVJ9wQ/BlgQgn5
oTiFGI/67FBZvnGWWrF86H31taLWPKdRUkcki+exeRF4+fzjVkguU7zJZf0wAjT63dYTrTPRzZ73
4mpSwamLNND9DOK61bnDOv4F3ptlly3JOj4Okqg+h7ZBdxm9NvRhV1aC8Nuvuv3UjATaXFKUs8pK
JbD6pBHwOAMcw//HJ20DJBI4yUMawnb5S1iKunzkGOwH+Dgez2AvAfgSXt9IMoDnWb5PUIh6qlsR
/oRCFy7HOinXvuC8QtmihvBSXXiR7t7KxLOiVNrJYKckVPQkUUKP0qoM9L+sqcAGm734zKJVWydX
6OXL4DYry6yuDSXWpLSR8MKE7YS9WiosK2FLFvVNQiCdbzF5InSch3zi3GGnxR7bDorFbs0zqKR1
y7uVVWtYNBMJORTDuvB5aCYdp75l2d/IZLfo3QO0e5k8t8bt2tf1j1HA3TNdOLeeqDeS71CMWT4E
ykWVxq/mxclqZyYvlbMOXQYmMPN/2BFLordLDQHBHvX9MfcjoSAJ4PezyNZy9ao2n+uup6cFGG+K
r4FHfNaSEcAarUP4TQN+k/zl95bjvyvd2YOLiFTAHqYqmqbmMrpODwlASwqq0g48iW9cw+Tp1Edh
0/0LIBIAwwMEM+yix5PhVTuVtluYg9DSz/Ajyu4Rx2SoUxYpOr0htbOOKbA203M01JYPheYOwMXJ
Gobqa2D5AG/MTttO2RBZ0QX6PMOYaseWMotwoOTHcfa95dwNRNfpZK3BP3AKJS8Q9QupB21oZ3lL
amRWmZgkzljcTzNBFtzw+lsCctqQQo5aV68KPhrxkHYios77OkZxIVvDin3qtWMlaeSzsYY3oDMC
VQFxIkgi9dYE2KWcVZdT0nheGi90YefEG/WXICBlmEY1id2HebWQGCKViOiJL2x2TusKlY7TArl8
93mBHhD/Z1wdUn7wBtrK913Z+R9WAN7hC5H4qnsTVK7LXlRcT/pnY5VO+wShhIS+iey5cb9CE8+N
X+Kxr50cNTvrfd/TvkFAIH4IuKj0mswLZxeOVEtdsbMEnv+fpIn0czDVk3oQDmLMKeohQfuQRJ3A
a4FpKqB2Jbo1a8MqxEdkloQxRjips0fLqTrBiBxKFryM9D/UYbb3MoWc/zuzLlhB2gmVyOqy1e5L
xdfmU2/NqnwMCTjTeR+y+H2kbYcX6NPx4QQHw+7fUEdtCFgXXT5ZSo9NppFjsmeq2ByeEvweL191
Ars6f3F68miH5Rinc4P39UNj+VDr1zFBsFyJlE+ezwLybVFjV+VDG6xr7jdN36e2krX7XgrW0rfY
gKLOAItpLJFxG9vtTYQED5r1LAJ5pVkaNzmHfR2KtBp8T4H/TKLoPTATli2yUGpenjrFrDkfISQb
sVTWwyJPDSYjXnpJgLO1ma4Vz6CHMXkpG3T4hALsyB+ScY2SE7P5grBpzRq0Xwt3R3SCy1E/v4OC
BY4jWwOYF0fuUsZFpwPvUxPZ0/AM+fKV1KnrVfaXkIi1yltwA4DdGFDaGJ9Jafldl1kC1IgZ6keJ
XJGLxBR358sY9dwChwHO3QmBrB+dk38dr6H2a9M49vjFAWyKFhWKFeI0o6MZeKew5Wt8GmQ4NQb5
Gg4FNF6huSEVAX7jNHFnEV9tAqlQK6VAO9UnS1ojxMFaH871Z1VVdZ/6APNX/yAlhYoqbuV1+i5g
wyfO6HdP6mNo2cOSyV5QBEeIjzr5FLUdIPjoluC+8xad4OQ7nXeqYh0J4ACHoU87gL2mNFqj3v47
YXHVpUb+yoNG+dwn6AmAtZ4hiLVTSmJv7rMZrgqobMO1KspsFx3vTNkw8oKlaaKWZ/BroPizjCV9
1WPIl4LqcqEv7tx3T4PVNFXOBtE8O0lt8QcOhXA7c6aGfB8rfEoIxsV1A+A+MFdZxYSLIkyjdJIC
XRosOdU8mR+Vj1iXri6Z1mxuZvl1gULK69guCeDYQzSjPtQybaclCFIXFIqQ08iaKcS40VVf9EgT
DVOSkHhpNavltR1VYOFpa7skWxBZPyfTAJcnuPM0r9BOR+TlgGDR3EFEqNNA+y57y2yFh5Pj15yn
NVEsycG/0IFAKFOunw2+u/KTknZX58qaWve0lA2e6jUkyZrc85blVc7t4GUO6nQs7Wg4+5BMV82Y
oZgdumkSrSN5Q1hC6E/JKzU3WTeWNQDxKPe1kPmLkf46FVQ6U5yLuDo13Rwsz30cSP8ifeq5D007
s/khkI7qz8QqFX470Ct8gQHHwJPwfzg7r+XImfRM34pizjGCNwqNDoBCGRa9a3OCINls+ITJhL36
fao12v3JZjR3dDIT/ZOsLCTSfOY19127uF1J+DPIJAAB33lpaBeOCC46u6nURVtk9sB3a6fADE1v
XWw/XGxP674SnHbtF69rm+QqqYOUo1Anap9wTnXKoT2Ok7lSI0eUUO2NxK0vU9Ah6cbrykwd7MSX
ab/hf7T8tc/S2qGkLuS4GRGnFLGrlT3vpfCJzDgjajtMe4MePRojMg+XoEYTcB4Hv9lT9mm1DQr+
1nSLB7P9YPBp624F/pGGs2b2PRqUWd1uTX3xn7CEbJPQUEBD951McTogUc1lbAVEkMfJDuS9t1I/
jW1v8qDoiBT/hMKRqr9qVaXp4ex6v6gACkcbj2MiC4vKkRxIGtrfF3OeaYgbcsOMGwN67osze/7C
fimc7+aUOF00eUF6IwlNzA1AD3uvuTriZksV0NcjmckU3iVGYmKWZstz1l+i7ayiaK0woPNxJa2g
mXdC8jPhZ3a5KQFk/8RhBefLlnbsbW5P8zc11cVlV1nUn/MSKv552VY2YUiXpE7YBNPQ7TNdpjBV
GiivZpIl48Y1SiuLETmzqzhoR+PBKTOvD5W9AJqDcy6uMPyQU6RVdh9EsCPM626GPhFC4QrUjoSr
+7Guqj4Gg++3+7mupq/oDQYXxRJgyzOMAOQJIgz+wh2DRe7z0tvK0tKuhC0GDuLM8g8DLqY/Snxg
xY0/DeYVC9PqyRlS7Q5IhZcR6VXlGaiK5MGutVqGJYnEbVImKXF93jf3PJadHb1MpAyT+/rVrC2B
EQnNUBeBO+smca9ck6PbzPYXqRPM8ijJovbF4jbWRloO2h/kausXfDfY8VYwLPaObKBPDp3fVV44
17yfjd8k/VWxdL0XlkORIsLQjMy2zpV31CdTfxF2WnLdouz4jLOX+UNrUuQlFxUUF7PquOD8YdTz
sBo5fmK2gv21qDol4g6uvR/VynGqKA8apOOXvBh2bDq1hkaaGwe/N081qslP0U+zKhkFsz6akWWr
wYtLazTOm5w1ioC3k9RhIau1jij5JmIfTLYtkC5Agzt2zEI7I63Q0q3b9O5LNmhAidaxr3Oy57Uq
uWFa7pDVEoG8JCAbRJgK6RhbyQ0AZZ/uxqtamhm/whFdpV3plMmzWoeClGEoLCeGDOC6YWOChrLI
alNoRJnZh8GiucudJX2DsBPtjmNrSj4bYJ1eoaIshBuV61Lt1iGZ5lDktVXcDqOhv+Dk6A5R2nml
2NYO9qvczm1asH/RReNecI2X0guqdNM4BrF+mbjCIH13AGw0VEXnSLmVWW0KLLnL0ICZN4XZLEY7
qhqgzJSmRkq47jSBfteEDcenk+7TmA39HHNtp5KLueqM0Aj0zt41hWOWsZi7YowHx0NOJW9UEGli
TBZeMHWUfVa4TREafT/4kWunWX85J1V7WSO3pUKkdwL/IiHP3SOHajzoSec3hNRpwYWWBtZdkQGg
ppaUr5usOt0N1mBaS6TrPdG9WVB1i+bBG25dW8IlHdzMLs5ERzcxhFVu3+PtKJe9bIvgCwxe67zo
U+M7VhKiOl9zxMy4U9eujSZRWTemwHD9GnLFdJHQeTUi4oOE03XlNo4qvuPPBroOR8myehdTTS8r
JFpU+X4xm4EJtbS8CQFOm4rJdRwiCKdfL5zUW1mmuU3cIlb3OxCDMT2rpMAS0p18e4yg8jn04myn
9hCLmiWLFe9wLjJXVsHlIKbFo4RDieUKOdhyCGEzyBszrZN1O+lz81qX8wJUwZkDYqo5cagDGXb2
fEpPuOI4t6ctue/4g+vAyFFRFDm6ddXAtLj+TB2rmzEmn5dp3dRpowVHW2XmFShr4060gZ5F+rgM
BxqmGSmU5xU3wnaWMWxNtNFCFx1qO/SdSj4YiZ0/m1Zvv6pZBbS+k7bZzQphs4j8jbzcJhV22IhB
d1b66yhDJXxkOvOmrRJOdWN55Qbwm6jsh+m71ehatV3zIaWnrEr/qj4JVoLZyuqXxp7UtLPrQHZU
QFaMAtzUNW+TtTGNcJ5Xqw61Bh35nVUREYTMcf/U6oUYwmJ0h5n41m/uPb9R5w6chCYUrIervimq
Lzn6bq900ZI98aw2oXhbF0Qg0j2U09p9nUa4KGHbBVQMhNXV1OQxUaUx7CmtJmwsjTOVV3m+s2oz
pZ7WU0YPMYqc0eYKUg67Yuqn/ODifN5G9J4A7DRKJy3Q68a8VLW3YB6UDWPPg9vGnskQ6UaijNLG
fMZ4hzOewz1bW125SZepYe0HWT8TDKj2meqLpxORpPNtUaSmwKIIyaOwmFz9h0PnPA2ztqh8SFGV
fK4hnblh2/cksHM/+5d93zcI1NaFcWdpuvE9qLLJiGaFfrGqguamYNWvkdOZ45m/pK0XaYo45OAO
KBxTj3SaM/zuAj/SCmVvs4UkN0R90ptCRDNmN/baZNII06Z64Yhq86/IAlVfusAov8pCpw4h9SV1
tippp2c5Zs1tUDTULGXgSnPjtI77Lcnmikmj8rTSt7b059wurfMJvN0U6ZmG5dbqjekPf2qICgcS
KU4D09G/uVbWUtRKx5QAaurkuYsmnMYRU67nGDivWTQGKwAwM2jce0MW9sEsx/KrcFD6ijPpuK8E
XQu7UevcO+khd7jJ9KX8Qtm2eKa/LbUty9M5TImn8qhOVyIhFy/7DObHAJwMF/TmeTGAgoclEz2F
CQVHZ4s7kQX3uNPadJ+2jUEQldRkcq2cx12dmHWOFqBj7zsvT/WwKpuFCok/aNmmTPrTwZ2nzhVS
HgL/qkbvfsxZJ19H2GcyFL6PiYylqMhHHvpHt0CzvCpaZNe96JLDN2ZdOa8Lp/MjgPTmkYcwqUXk
DoFEojWco1XVtX3k5aU2xatlYEXVeEWt2JpS9ylJ0BJEpTAYtc0cuN3pRvTbQztOnAXTYOVXgZai
kOl6atqUI3qU0Wjn3EUTedGroYilYI4K51APNSbCZDv2oyoABl06JflhxL2tPPaHqpFkV1k1IwmL
7uVBz/PZvA6MtVpOYaHZsv1af8GJ0OfQtIYs9/c9NV6yvMa1szOLmmMVq6yozlprHsdtrWsqCI1a
d+ZocMfWiHycNuiPzLY7hqZ0vSfQHT1VkXk0CD35UujSU1jeBYUxWVFK9wR9njIrjxV2a9qFVZD0
b0Yr0NrQVxZlnCB17G7nFXmSo2Y/OlTCZdHdTaNe5puhsWcVqjoYsisq9ul3ZaL/DVmnVNeqdgxQ
e6twr6Z8cKZbT5uKH4Yvk3yb0UyldMllj6uO0dh9hAmBsVNyKKq4W8b6rlceaeowewTyCRFHD/zH
DS4adLSRJlVquiwsFzPrHKgXQU/leB0hs7WWp8qcDZ7TyNdbU0xatg9kUXwjCiL705LWQ5A8oCID
abSWdw0rM8WodfaGDdjC5pAKq/mW+3byMCzz5J5KyE17VLQh/GgqSGmiVUrnzBNlO7I5kFyIA8S3
m3AmQqt3c+3486GhYvcNuyX7JtW8Mo86rvuAx22daqNPhjGE9pAMF6k1e6hpUYQxQtRMqLQJ39G+
zeQXV9nqqPtuXMrrpmyJroTf+PdsKN5O6yflsWF7dmGaGX5x5lG56iM90LT8gLGuBRJYteKUXrgj
v6mNR5nSZFmMCikIqWxSQ5tcohgJ5haH5HKT+KNnR1gOt0VEM8rZ2elo4hglSqay9tzmhuNDXDei
mguuBahamz5xjNhyOmFR1RqNC6K4ka0Edcvxz/uWiul5T+qG0iBCYXtnmscbZzKW74MYVH4WKMk5
mA7S3MvazbxoOnmpRA1xyqvWOcZVylnDFm5TVcaVNwcPCPkYVGVz4X1bkg4o4xQon/WVDN5dKXtR
YGvhwgIUdd96YR6ghxP6Zetlu3wyB2Or+5QF2F9d6sWdqOqE6p5DbcjqvUGeoll/VzUU8zZz0Rn3
g21XD0462Jd42y6oFfUIckdNOi87wA82zSdLFC0ao1qAXleQZV97NSRyD/I2xWYnqF6WHPpFSGWJ
vAjWgl5v/T6p9NgVgXMl1MDeyGZ2FVe9PVPmJOTUN6ObtTcevbCfttmNRUiBhsgkTam6hn5ag36o
1tR5rmxVPOOKB5ZyRYhnn2IIWZ43YiDhNLkDyGBcbz6jEId+d596Mr8R1olK54i+uf6kp3dCkb7t
6NFEtH/Z2yOmicLY206prBRCA/hs4JIplksrkXNUyo6zRWKZlRglVS5i/UNdyWmTaWOwHeriMwnl
Xyy2374EWMgTVP0kr/YOkcLiU3D6sxpcd9IfV97Z3RCo8ke+tp6KUU8ntMtStLDDcc24Dwhnu3Tj
ILN3hoIK9dM/T8rvABm6nACoMCmjUAcn9+2cKNNoECXDyBNOtTgns27uO6vOPyFzfNS+RWOXvjHs
EdSj3838ugi/TEe9jitS0j1k2Wbr0T3ZVsAdN9IVn8ne/P5UYH6g99vAcohN37eLM9qUXZUGIg6q
MQiHrJ2ONCL0TzrvH0BhTnRUhAmA4WCueHrqvyDemlqtlj/XdazLno1Ze9Vrs3b9vZO4EFFXnOt6
rZvv/vzCPmj3Q47U0R08kQMgyL0dlIrx5HDn1/GadVPU+LO1t4Mm2cqsEZ/ACD8AEbMqoPnAQAez
8RsHQcPybAVAL2I7Sx/bASsPaxxlRLNNnGO3kexNtBG3jWvIx8Za+6iqzOYz8dCPXuVfv8O7BZqa
WmpNKuB5ZxSDiHEqcZ5plfmvQxtObusIM9PyRz3lPTrTw/R4oU4RM5YbEpsPaegk1KthlPnPU2Ph
iVOUY/YNOM1ncskf7Q5m+KTWh7czorNvXymkyJVTqRCxqOzhPPc6kJNL1tPgb9vvSqPJ++cl9OF4
CPC4oKURVjFPMI+/rNu8hZWvVT2Ks3q1wBtrp8jRSnc7OjTMhpME75/H+4CTyjpyQECAUfE4gE/v
+C8DwtBM9cWpRJzUVZsdyoWRosZ0kvNlcovLfrbUrZS00AQWNsDFJzq7Vqmtbmjaox+nTe2c1UNp
fvnz9/pwaaFphoSnySt/L343CMfKEzQlsSDxyu/aAKVcQ9Y5/PMoH842PtpgtsHMkCq/ffhsmBWJ
mQmgbCU1zwOtuSqNie4xydcFBu2fqfN8cCph6IJEBvJOVG/fQ+Ezt+uc0fbqGN/T4GAOg9rSenQo
aQH30hPl3Kxe34z/6lOePA7Q9EOpB81k870s6dqVhk1EKWIp2uTVc4ryEVLUctka83pYbAi5n1xc
vx9Ov0aEU43pEZjA96zRrJ6DPl+yJvYcVSC669j3dhVQ1/JXL8pBdkeiYnkvi6KmZnjAHGqgKX9+
t78Bok7fAXVUF+AskMj3QGvVj3ZRLBoLW/dcRKxW/6y0T0y3kWK4qFJz6+utHxVdNfyrQnKMDC+D
KUfhgS/wblXR47JUUkh0yDHW3g+qS2PAIjJslwkLqNH+TA78t1V8Gg/CFs7znFO/xU5coUu6rHWD
z41ZPPmZ21YbjzzneUVbtYvMtf/MQeO3dcyIJ+rxyQ4FaNV7kYW5DujQge2GvDJiO+e58mrMAJDk
WO4cgR94l2AcvE+OhN9u19OggN89FJmA2L633M6HUfhIwDXx0PoiDAIA3g1tRSCCVbb789r56PlO
9zejnDAFvwusa6ZNC0PEuadXXehodVfvEQwz/NBadbUjnC+/Cyb3k3F/bYw3ESjPiHwwwHk2KoJB
75ZOMwL2ALLTxpo3u7eKtJJSVYDpd1VMFvJoaykfKcEVcdem/hegyIJ8fEzS8wyMFP2ClLwkA3Nx
l2VG4oeVSTfyf3GaQJA6RYr0CMAavz0ziUCtMXOTJvbbRuw1alwxkGM87gMqMtm6jJ/o5X20uilz
ArMnnjtdw2/HS4NO1fbUtXE7dUvkLFW2nbXMPqJWV6J6VXzGi/1d0oR3wG14IrtBY+D/3g7YujVt
ylq1cTLZVIP1ZL0muEjnY4JZ1ZW3uKuK+yWzvinN9C4LXdTXrjn2SVj3q33TSvDu//qUo695Elo7
8TKxzXv7jUbVdqMUSRtjdFvHgWzafS3aLEaSy9h6Pa7qf17+H+w0A/kNDCkw/4HL9C7gopJgiVSf
mPLCyvdDr56xj09jH62c7Z9H+u2aJ56DF0+yhaQbLIB3I612ktmpSSujIFqWoavn1isaeZ9JG/5+
F5zWD/pbvFL7lBa8ncB0wqMFn68uLkWrb0HhICRtWdqZv1aILTqAJ7rEsw6kDJ/pUv2eU54YIuBy
OUkghSH2+XZoTM6DxpusLrZoEwKMLQFMeF62UShZjXE72O5BNdMQmxlxjq2C9irrBvmVFOkzb93f
3yoeiBZYdhjS7KT3etrlRDKpA5ZAIMBP9to8zT8DeDrXk3K64ZMV++FYxJWk8tTh0XZ8+9Q0BH2g
z4zld7oKq9lCatco1nBeljL+8xL6aCiolAF+4QZo4PfKamJw2mb1nS7WF2lvWGLVwUzqh9Loik9O
598X62kXQrhEQRipyvcnER0MC/xpwKucy1WG1GqBbWYybdNPZu83FglrBv14g+nD+Yv74O3swRHr
JnsocI3ql0ep3HsN4sNmHQsZOy4W06tFUcg7AQM6rSs/2ZIfzSePSAHkpMHDhft2cNno1pKtPOWk
VcG2p3FyACmU78t+bT8Z6vdr9pcDIObk7H9iiXfPCeHAaIGu9LFXOGpbtbp7vRA5xbqXtIBeyJEc
OmBB/0nF48M96dHO+p9x3zEATLfL9BInVUBenAlTN6aHuvaNrSlauRWYTm6QOOwPdREE3DCqv1vt
3n8SWFN/drJ/sKRI9KgTERNSDXlPnlntFJnhUvTYfQxuBDhcP6uL1vtknj8chcjQQ6jZ5a2+m+ca
D4SM3LyPF9qcG8pN6thQdf7+L2/Ek/DCiSnKQNRc3i4chEcNrsauj7HmErt2XLIYgzoznIUxf3JB
uXzU2zAJNjHJDIkbvDFO17dDNXpgpH5nskG6qo/9ChfOVFridWY/hf6MOM4nO/LDATF51nkGE4bx
uxs482cDnIbX0/ZBw3GCPr2pSucHXX44AE5ZffLCPtiDp3MTQTGUY0Adv7sW8VumJF83EnmE1Ipy
4egUPCo9WpjUTzbDR2vDwagVfiEXA8K/b6cSNLM3VwGmGD2zfWNMGH1tArcAL//n1fHROATUpAwI
trjIiL0dBxs4lHDKFN1d5ftxkKhL6Bif2aN9NG+/zDDZUR60wneDDOSyWppMfTxlARqxVO+3qTes
G0ewxf/8PB+cXTh2nawpiCp4sHdniDQcNfZzi+mbbZ2MfdHXw24B7MmYzxeIzbvRkI//sh4kyx42
EbVFUKvkJ6fn/0uxBketrB2LScZGTdIe9FO/hyxy3S7S+OSu+2AmOQd0/2SWTOj0Xh/AgEsopkDI
GO2K8WwqcbIr4AlHk999llB8sDKYRkSBvJMYATTCtw9Fm1KUhE4yrvBsuaYt5IW2csZP1vkHO5gb
zSAmoWIaOO8tPF2B3te82qzzqlziImuyvaAlhrkC3TjKyP+LCAgaKKVgpGQ5DN/zTs1EWgZGFSpu
Mijegz57YSeIAIs6m/+73vDvL/N/pK/N9X8ffPK//pN/vzTtQoM6U+/++V9X7au4U/3rq7p4av/z
9Kf/91ff/uF/XeQvfSObn+r9b735Iz7/n+NvntTTm3/EQuVquRle++X2VVJz/DUA3/T0m/+/P/y3
11+fcr+0r//420szCHX6tDRvxN/++aPDj3/87Zcw77//9fP/+cPLp5q/u3vtn/PX3/7g9Ukq/tb6
O7UniHesLVS3f6nbT6+nnxj+339JjSFlQFv3V4Inml5l//ib7f4dgNap58IP8Jo/VfBlM/z6kfl3
k+DZRuMBUWiPe+dv//O93ryh//fG/k0M9XWTCyUZEmIsy/ovdxjSY9hDIdSNXRAucpzyb5d9nku4
ImkPrr0vxrM8K7V4rBrnTPPS5slqjOGLifN1uBQgJ9QyfwfaqUWZCdKU5ndynk+5/Zx06GhwGfmH
KluyL1mxrltnWO1zUOBwsTKKKV+NooEKWCUiO1IFFtcAsarzqZH5T8Rb9Butyp1DsCrt0knK/laT
U3dpFAUIlXwarimrqYvZHdpHuWppJKasQJ4dTUBz9rQYBhP7KTC1B5zY7E2r9PSgjAWn4Smn3rXS
7bzxncW+s/t23VlaWTw3nj/AhM6ngwWed4/5qrrBCWxFw8t19jMYq/M1Qw2xkSCjAYvTkJTTBYiV
69Q04nT2brFTpn1uGncJev4RLBsLI615YBqQ2gl8uDIn4+w5GZLQpgZJ99f8kUwA3SdUavIK1nzl
nfXgUXcOrBvYO1VoudmZaVVXbvoAr+BWc6qeao8zXdMHrLd1MKVBCEh8+iJ6rPaE8FO+/aBe/am1
dzna43tjBfpRnWAb+jItz0aR6Xf2UHcHbbHvm1VM38oksGj129puMtINuP3LAl3aHTqw4iYB53Sx
Nn77MAl9iT13cLEE0MZ7uKN12LstaEa6ENiGdZMbqVIOj8qaqdNPoEDi1O6CK7ATL0NXx4C96bVj
xghUu7YizbdoZnsqeRmyMdvVnaVuLKsNTgVQbdcmw7hpW/vK0RJ7YzYKS3r1VRuBeGX0XicYo5E+
2wdRpwh+dAhBZcNlN8yPKe7W4TLrUVoOz56V3zqllcdzWV7oCeroPvXzSNVrtrXsAvdOZz2qcT52
WhZptRNVbf8M1hN8zIAAjajHh9EkGg9lOmTnGkYMLQigE85MGv2wMYXbbLzSP/idNzwOXlEejcyf
jrhE5DIE3B9KtwYvt9TWVh+xHwIkuSnoHEzdD7Pz6xAGC0m+SR7jdWcJeQ9NZUvGHcYVu96dNkBn
mV5UWpHDyGIAZZT+AUGDrwXT4Ep/559UOKHx+y/GpNnbBtMY6BgZRgIjKIzrZQLE56Y7Fzn2aPGW
Xa4DWKNQNUaFA32n12Ldpp+arSe8YmiIFbwzNL49tIXuzByD1743DtrsI7NcqKPhwCqYcV4MU+XN
F3Da2rh30u1oUoIZp+I4mkO5WQeHDQf+J57s8mi1uXE2Vl0Gol3fOr0hI2UJ65C3lnVJuehSjr59
MyOnGJZe9yK1/sEbp+bK8J0bYep5VKm2DEHMOMw5Nm2epz3NbV+eSzcvbnsd0mOxWICxbDCb9pzD
p3AreFbu4ke63fRA3ez+aQUUcuwz396Vi+6Fo3MSAUjSKwBDcwhP4JtZ1fpurIzpcYArvR2abrgD
jQbFSmOuMm0jWnHmgSKvhPWzQFm2t7P8wk1n+7EUq7lpqysFTnLjA3oG9mVnG2uaXsQCqCjtdOvR
mSFtDr2fH4NO21o54DBIIF9hMulb0eOgAQX0Pln7javyZieWeu8Z7Cbg2rl3nud5+winVUQwbV+q
rLhxhDNc5xIHjMC+0CzjkC/qsfFQUMcXhjWp2rsky3+IxXvyhu7SGcHvejk8IreqwD03yT6r8uLM
aRX0hMHtD1pVjo+dVtcX1Kpg73jQfc2187bJXJUv1kimm58IBdNcrT/7AlaIsKoJxJubHsvck9B3
MLYAFKgvYSHwym4NWztTrYHlW0EtojhJH4mOnqFtgmrqF0S7M4gOUIsCTsMgybC+8KZ9Xsk0AgSU
xW7dXK4TSBTXHcU2Re5kk1JIOy5Wvx4BsmW3yBqZ3/PGdkqg4cq4hKvTX4G+OgPBDkURIntcVUHO
364XRFYRaEdhhcJwsx+QNNy9MQbF19TJF6TfZf8alLXzOvPazsqVdGMs7Mj3p/nZKTT/aWnBWPdO
cuRBVny+UsA9yLX5XEXxCJ7n0PtpdVd7+Q+lDG9jN5210ZQhHhu1jrctmgmPcqlXxCDWQ9brJZgX
U9xozWjk0QKdVsJGcL9qszOGiAvEqp2/L554SGq72UzFqlkRx8Dl2JUvU4arg8xhknVIH0OMqtKM
vd2ZT22WI3k+aKZ8zGm1gLYyEsoCuZVa27msIKWZoutuwTQjXCCnSvN3ctHsg6/N2jdrbMU54Qe0
irIV3r2taz7GEaIdvnmaZu6D1RHXShvGA1qyzbnZIJMr7QJMl5nXpgitdOzPrUKmU2QkvfnQCi6p
MTc5BvJ6GJ8H3Z/8MAFmvjfKrn3E5cW5t41GtVHZZtDSgPS6wV41ifbUDflwe5JCuNMsxCzMNpN3
hCJ+iEMW/QbEGUJZp0mYGBZ0PJ1Dqwmc+Yq0ZL0YOzmcQXxqd06ylg+NbTw2HSgkrrzmCFjbOsvX
fn5iPjIuYLdrXpe1bcJuyYafKb+0bKpcWg/eMqfIeIAjiPUR0SXOSuu6FEgBApmdpRhvzcFBKMnp
I7oRMA+S4K4oxhBs7GXXJ7cajOmDhZLXoCBHDkH14EL1/pn3EyxPS9tLuewq54fviw3gqZ2yx02Z
r8+6uR0Tr9xkWW4XIWTl5QoxpOTcL1GYJr062Mb45I/aXIc1BwUoda19PoWLR6sZgus6lbQt5zWR
2Cl40FKH5qkbE9RQ06E9Ld8L6qm7gK5mAWRxYwZq3GkArh5sY4AyNE3WhV5xHOuoE22Fl4VUrdeY
Spm8GQvDfejZTjWH/9zd4TRgkoHZwXUGu+IJPqND+5RrJqnMDnYgYGUI+P4hc9yGJUj0l4I836pg
cl9dhJWXylsfqm6YmJy637X6gAnpgmLgiUvFDdpD5u4J0mRnHJ1mre6cEtoNfrP9pp/d3dSsw87L
jGev0B8DSw2bXjriEg0Ze58WHad6k8zfqiTf60u3M9mXjibOT0wWM/E4JfEvgH9n64857xj04WKm
Ry4h8ToWwMhgJZ7oeW2605McjC/Sc+mPTpZPmA30V2ZtxEU7O+eWVYpbp/WgnNhmdk05zfzW9eN4
FMhbPMA/ta6mQcm9Wy0CvNIMQGOa7V1XqeJlFEESj9JU4Vpa1sOUVtA9LNH5P626stiqTufuzJZw
tmkActl1lBlVWLrj1QLdtRyajah3Dkwvbj13XyduHhdaVl2nTZ+dgavv97NEVwpsaHoFNHCo43yt
29gzB5Rp02SIHW7YgzDzm2FdvC+OlQWXIObXsHOw4wjz0WgecGKQTdTUEiqiky1ByzGOq3qM8iDb
DqRLZm604vu0lHtLU7FnJHdBdZ77awfJenbZFWqF2Fn4IP1cy08ORTUaPxFqlnuYSkcvt9RZn+bW
ccj47H5x532ZLfUBSudwWAfP/NIB5o1GAuEc9HITVJGTI3YR1p2kmLbmSGp5fbVE5EYSzy+QISm1
sILwvkiD2MwTA4wgLcDYXm0rCb3RK9mleCiEqbmkMvy1zvNmab/3c67FraN2aS6arxNgZdbHkk9Y
RkK73gC/y0OiKCODnJsZG5Oe17Fmo4lwKHtbJ/PIrLifhZzAoUzIb3ReoN0HSBCsB83z0oroW/g0
TB1rjwgTzPtKzpBhET34MvWdiDrfyuvIdvsFGhLcz3uRlqbJQPk4hWtRWcammvSEidP9RwMQc5xl
TRdTjfbu6YDpsISCtLydC6veaX7ibVOxNht9gXkbLq5m8eZrMxpb3wIllFMpkU253FcTtkEuaj5X
nP/ptkgJ5KTq9Xit6vwq0bp8a6VO/2QWMxtaK8rmJ0IZ61PZQFFUqTtt8U+5HyVMexQ6+ilCSeTS
A8StoPoYZmSCZL0Eouysi3sO+iANrbKvL+1+6FFFbqt7kzSAg4mkjgvEBjbOF4C9Y39ndoZDh8wR
wrKVGzVSm7Zt6znniRy+tbRHN5WvtBKEau7sHWNcD1CwOfKE7oorSnqQ7DP4qlabBpHqC0IVBFnO
DC7ns065667Sah07sUY7TpoPcBodo+0gff2YcPPFddJbB1Fk3b5wbC3OCuQ2otYb6q9yaR1UWv11
M/gy4AYxlk3r1cue/8SFqvckLTs5lcYXdxrXckPCeqt3wXPN+g3NBXQABHGA6nUaa6gTRq5JnkzF
m7Qom0Gq1WDtrzKf2mrWTFrolpp2HN1NK+/WzPo/zJ1XktzYlmWn0gNoPIMWv5AuQ0v+wEKQ0Fpj
EDWPGkdNrBeCr6sY8bJIy7b+KLO0NFpGBt0dfoF77jl7r32DXv9gdqnm9bp0xYHh22C9I0vfy2kX
jMNk7ZMiocaVUAyJ003Fic8elck6WLGCARC/z571kZEoNvVPvNHncETik/bVI3RBCyBB2r/omfp9
SuPjWCa6sw0hYXb7TBDPczMLEDFAEKC5+qFo3BGCWOuOik9211ijxqykeJzN2jjN6vBgdYLsZQMT
KKsIzyuhMA60guKiVbDySYyLd+sym6HLuVg7Gz3PKhJg3RTi/30toygjxD6ydapFlwZV6C5Ul3MJ
U0Sg6u3WVDmpQxkkJeiDRoZn0Gb+vJbabbsWgi+E1Ro0kvaMh9t84kGY7aYEWYQIhdmxNHzB2Mgk
4UEsF3AYcqUFfPUVAT2dtuvD7G4aOSHyaEsoL6yeswIHelumQoLEAGMeY1TZY46QxDyo6oixUEP+
uhOJVehiF04DfpFZpjXfAvZ4W0icRxjcq7ENosVNxzq8alAfcbmNByXZEGGGFkIysNLhNcUw6GhS
r+EKaBRPqWc/stLaHuVZuDCM0brBxMGpqA3Nc8PByBz6c5IV+aVG1+aoNInuN8ug+3qveprWgnXB
5UzaCqcjBNLncDHIHdIoMJv+wmqst3Qw0XovJU4xovQwHR+J85FdOAdkHJrN/aAJt61QtY7cYAGO
pe6570nr5VDJetX4Ohpyvuxm1Mddo0ZkM2DukafoIiTh6jBqy3opzfm3VRVHx1DgSfQjB1AOLwSc
Fx2Vc3IBzTLaY2S2jZq/QzaTgA5pbEtLWzs0V2QvjYog0SW31hYKHhGhC4wXznCd9JL07cCDVf6W
ao3pleRj4elt3XozsFj0lWh+9woVcY7jbSx6j4jmzK7y9VoayttGavZNzSITNITcCsZxp1Gl2pci
9cR+i7EmvM3kV0GexgCVwOJ3c5u8zhFdItpch3w0vmG9xGxReI0k5cHUshlXmXTLXtFdDvlQHwoc
146IECYaJvUYhvK63+ysaGAjR1NDf2z7q6a0vAU6UzFZy27IRlz/E1JSSeKBE5XlPqbf5zR0nQOW
m3bd6moSwDhZfGuqF1dPu8cJNNJll5UiplPzyVJ5qpRVGmTABZ00I9+denxXhznS0DWSbaXo7rFZ
+0qbnqqifa9N0/DESuOkyucKljlZD2XXPClS2V4XnXHXh1pha3lFHYsnIShVc7zI6Rc4qybsBrXp
9hzRMXca1YIpssV6iXHQr1KY1mLaL95QyNeI7gyepYL0yvHtFZU7XtCpkPd1rnT4eFY3awhVwEsP
vwZnaoGxwYmiuHSUUZztpNE0B0BF4whszzaMoL2k84eKFOIjcOnLrJZwPEcLjJmC5l+SRDg6dfFc
44NwNSW9J/P5AuO4uDNbEFZZQ4vHGluO9PrC0Hos4rdExFRst2mvvZAfZzlZXN7W8vzSKzA/isJq
YR8wvIsiLDgJ0BybBJR90vbtvtHn1iah2KJDIdwwwj1EjcVxU1czp8KoFuV09MRMTnDgUL0uc7PT
q2rBLyM+S2w8l2phnkUKa6iIbtpLoFLE7DiV5ePQSunms098Hc3CicEby2bwcFD3F3KoM3tjnZQ7
BdOmE5MZh03bvKbwwIUxWAuP/sEpJGPGEWwd5kXhMVJxwBy4QW1KwB8xRdl3c4nflKTSbZTMhT1F
Jsb4sV7tSjSXy4ZUIhhYnE4jKwmaAVFxbPU32tg6aLw7h0d2f1P0s20l+ZMip81+lYvCKWLcsK10
wqt1TXZt0CqC/gNXj60mYZDV63M7UU4kIweMlSGVs9KwsDnztIGgq089VsNvljVihkNIp8j5qR7j
N4NN0R4UrptBSfYkAWxGeoQlN9ecVRrH62pOj3Lf+Wqdt3abaYPTz0oQqYlT40R0I6Ms78BdxMGs
zhiGOpONY5n8dVFemkw/FGF/ksJvBnAmG7DCdwIrADxtKxDHr2AiupLamhpd08r+qA1EpLemkh3X
WL+ecSFNMDe8sIspnYoiCPt19WKjZqvN0ogjZ+nJoZ/oxV2iW3spy2UeQ5z7gIkAooHhwZleJtH6
Hj7RD3Sj0ileJPJ1CFfwhVhvT8NAlq3ZfROb8UlQCRaPUsXV2ubdaMrRr7seyz5nQTDIoEviqbaw
gEzlK/ssuWFa5kyK0u6ycn6egaS4cT+Xbtt8h/LhSfp8QRMaMlH+NnTzk5xqut3roKv0IlZ2KUS3
czLF60lqZO1ujXi4C6rKalEfgau9VPKogLA5D8U67JD+vWVVsXpLI86niTAAoqbn3Kf/TdmCLsUY
T8CBjtPAZjJ3i7NkxKettX5RFPo5HhbPirOVq1ezTcPg8GVNF58TZg3mLGuoK3EgKUR6zsJ3NKwd
67+Zr5DGe5PUBnL2Y1kfBvGZgDg3YW9cs7x0CyX7vmilb9Y5BWRfplf62uWkq4houvpipIUVP3Zp
LuxhY6+sxxNCeulOBCKEY1jI3+NB1t2iRP5gyO16TTtTAarUV3YstgCGaqHEqyiGJzJcEZmWt0Ya
XhAyOAWj3CTn3IhqpwY0OIVU6Fp8JAyTZ/9AaoI5C63NyOBJVovdsKKgqVYhPqpZmp+5/LMvDNou
HFTeaBWXd60186Sq9eFpEJ40a/TlZWZiaGDhU4rR0YswdRdVam/VYmummfIhktZ9xp0YUJK8MUv0
wiw6iq0MCmd8L8PqAj1f6HM8ereYw8hVA68uF48AHwLIZVyxFdw8vmfmvh7WicxOpcpVIfEc9FUz
nTDJFX81xGAgmQoQnjZ4lVSrjwuFkt2YkLDIapicLu5AaMGTP0cYI3Zz2NU+x6mcQrvGFT+mwj5h
YtDYal7SvdV7tm5T/Q6Uzlnorkjz/IbEKvKNGk9fxs3OASR11ukW+/FOT1iEuHLzYEgyMqmA7bDj
wt6BI/ZcZ73NdkRouz4coileziuTIh9EiDcWmd0nwH8WOiq0xWXqX9b7cDUYig/247Yd0hVYVFR8
A3J2TEOB3td0M6BHc5VwYlduu/uSqilZqJvbtsErqRnGAbDL6MIMo92fGG9zruoQFCAPip0QpEaj
HVudnYomWHtUl9KLpmGxAbpkHBe5EaxGPTY0ZuGpjEmFxxOgC8nPTVkB5NFKkBr6Ki8DSBKjkrb2
X32e17Y9ZiJUN2WdeKiMdOfAznRnGqQ/qrpssYQ2PHglKj9vJarrsh9FWHOxAFJAZZvEEBDhW+9b
l2LtzhgEZYc1vtkJAoZlu5aoe7BmTC4IKMyIbWWdu2YcsGoD9fTTUot5sqZh7qChM+6NmX16GizL
ATNR7kcj1QtnbfQ4duEkkRcuVTyY2IMiT2x6M0gXjs5Sky0kD0vWVUrv/RWeVkV1Z3aCI1bAb4yG
4KrNMv2iVsNJKHTMnGWyt0goe5S1XnZH2HzBiErJH9Um3cuzRVQ4yAaPALxbfKLhd77cxkOivZli
zREaUpaKj0Leie8xtU1tky0TfycmmHz6gY6YOQy1s3Ih32ARkSYHauulTVY90Mt+eqrIe3/I6D2D
31AqrOR1fsA94Q4N6ay0QxPlWVZV6UxLSAvSlkJz4EF4GVrJfbH24WnOrPI65nTzOopdA1aEc4Kr
4Ud2l0GJsVVXGgwQ8rQvyqbIznlPzpQ0d42TShrJHdNQPw3Gah0mAeQY3Sl0EGbeu+Qpyudyblu3
WMuXqGmv1IT5QSzSS+q0RtjHXWpcsCAGX7KYJ/CFidUtZV99HJJCe5arpcBCqEXTw2yl6WEoVIk+
U6heLli4InqRk3iwqlU9arD5bueUekTPkU/FRdkvbLVydGkQF3/Mq0gP+tw0bcFozcdJndv3UesG
XLRmBdNMX7ypFVd/XFPVlshn9JMPkEUh3ajE6+1lue6eShkWFHqJ6lgla/jeyrRO6AGVkaTTR2wJ
oguL8n0yaGSriaG49drd94Ik8rgRovV9gDhpC9CIAlqlyrGaH9IuE14MqHOcjPR+JxficN1FauSa
K2DGtEzyYM5IZtU7qz12eDzZwigusm7abp5myZx8i7rDUgBE9KaRw6skhJktypJ6lKLBcJZZK6kQ
jPyt5gIcVhy4O1oM/ewYY9Uzn8yym5YTvve/VW7ktjDp3q7paAChscpjuJKh18ISJUg1In4d9BqP
GLW9+lAG/f+TY/wPFFqYqA/+e53Ff/xb/r37X/5//Htb/ce//yq32H7tp9pC0P9BmUCAG6YfMlTw
3SCY+im3EIx/oJzbpFL8FKr0poT4p95Cl/+BO1NGDmYSDaKhqv1PvYUu8SOVvHRkvTrZaWTf/h29
xWdJraZii9HEzeiF65TUvK/i57QqiSUbStVJjKS77lJL2rNr3cFhS7xxXMI9ZydqA4rZb4o0jMfV
4qmepkN/SFKIQhLpematx7fmwlZfSx1EDVD/gBOy61kyfq6gT3qeX9Uhn6UhP9+sInOtUBtvQsov
0pA2CbkvevQCaNeGG2LGgP6G5Z9C8JTPErafL8PVR3YFYV/HXvFZgTKZdZhWQqk4lBbdQ4iZwICw
2pp3tVLpYJHU7dyeWvvcLNk8BUrFm3hsC4aqRirtQXh2nUeWRuGnwLl2CoBbaHg5RRtqqjS2tWQd
LObGwneybvoLsSn6i7SBs1wvahZjH0zX61iXweRWq3YLjwD8gGpBX6D/VVC6tiZWCtDOi3IdQ4EC
NpZe0fgS3irLIr+J0eP4jXFi9Setp/Sva4VrI+sEj+DDUZFFfr4u/ZSvUIcamc2fljyHa4bHRn7f
RcZ4wSm0WZgUMLXYZuMgpvNZ3yURzzq7a+MJCqiBzzYqE2gUdWJ4ubjEklfqtXyd0IXgialpcA9V
hmq/3JL/lBj9umg+xI3/JSjavk4CTPBni6YiaUjctq/7F3EgAk9GCyU4swmlC8iSklQR2osoBJo8
EAedhkw6dHQkqpUjYi5fgrtYHIl0TG+qJHBBSS3Wx6pdlndZHFuLVimIz64VLtNwulz1VgApoxvJ
Xd9/FJ+45zob7gwsBwlizB/0otpnwd7Pj0NSKH9QRGMTXX3+OMACOrPjBnFaBb5bX4b5no104+6Y
JUfPRIsPolyH90AgafNVA45UfY1a3yAWAFFV1BiCPSni8iAienkIi7pOnCHMJgBLnCBvRs4LnCmH
YXbaFbEFiISldlBIATWelDn9Fqox7QikN/S8CqHxOmstVYSDSvzOa9FoxcmnwXSbStMZln7J3W6e
6+t16nsvFOqhITR7yWbQmvGdUU7h06BIqQObobihKK5fBpG3nWprKrurVQ+7co5imEWFKTzH8tDu
FiAn7x2CVhusI1XTQBtpcccVfgnWNeEKFnN9WRULO7bVS8n171fT9iT/RZ728/ITo6DjdUBEJ33V
LwpguttQFFhN9DuD1giT0qbSbG0lNxFgzVFLnMwEHNAWSp1LJEUWZ4BBvcGoxvlBEPg6OhHCTTte
JUZqqB5edgkYSUR6aG4qzSWMXmubi/SxZpsTB2BrqfEQNmvYbolt9XIewmpXx2U72W2d8B2JKrLk
uRsQL0jjaQlRMABPGlR+SYAyxHg5Z2CT5S9lKQwP+VitvZ9llWlXoBzPZZuv4GL0LL3tkVFAsg0X
BssieSogz6Mq40Mt8DLVSVg4n1KR1GpN+EG4VISHKKKniF1GsSIXR7KuuzNIa033ZaBVF6swixhL
p/hQTRNwk2TuczQ6udqc4mKjWg16olwlsn4pdObsluBL4l2TXctDI9KRQigl4uH0secaj/pSaB3U
PS2+bc0ZDqiRCEexigYSKLX6MiWt9Flv8vlEXl9+I6+W+Sd1/We31M+vfgsSQRqJB0T/6hfOZebK
okTrcchZXMnSwmHneHrR6JYIOFPR3Y1s9lphh/gDteHDlPv1GYblEnMNdntL/oq8gBNlgqdJZaeT
6wq+XT0/p/iqjq0mHztzzPdgDBHuaWPBjRc7+VbRQ5GOzwLHOsCULJWpE8s/GHo/Ntwvb0sHN4e0
HP8EzoNtw/7l0SrNajWbOcRva0oUDJbGGKQ1O1KYMAxb02n1lVrBvwG21RYF+uLiWAg3URX2ThWD
cNZpsAYDuZEuYB3xICRElRKQFJ2gGqIyQO70RvnUOE2nzX/YFrS/uJFR7lNMUEtZ5G1s3/Yv730Z
VID7MdsCmOL0pJcpHY1QYki2C2mj57g2oL2LZuKvRd/sxLwQehraLd3e+gdZBEjdYpyu9IPL7bSs
TOzTttaK1UWrZlXoYcvd8NK1dOJOz0q73QAqNiBP45yGMyx+s8j3SqqGN1qezxdFmbCa0C/hfAH/
CHfwCPBxFSgvLPOIH1FNHQ4nid+Z6bprM54eKjOVJ7k349s8pCdZJJJMsxrNCx1DTCccaJifG602
7/NtAMpg4L7Ri/7FgJrqSkvHWTYlyMXGOxH/aZf6kI1/WRlwRnhEEi201VJfxOvpCqVlkSTJAY+z
3oXaGu7WpphdxUqGoFgl5swlnw5bTHHUoY160zCDssUmscdmCrWOc6+9zkPt9UYteTqt2T8o+ZXt
LXx9i+SbY/ozGOVoXx2IXTQuQMBEnuQ0ZB5pNptHAS6fgtrLL1Nd93OkLQG8PckbEDQ5bdM8N2M2
HSzO8oGM483ORfrHvUC5U+oS8YSFLgQofK6jdWl8CdLsfbOsmpup8XAOO4DNdZwKHtun9pwBBIfh
pyM+NYZiB3XlT3kuX0zTPK9UPPagOTCEUd4Dz/i8woUkCU0cc3xAKZOvItblAaHLQGcjJBejxclV
kepwkqpmZgtxIVvRzSBVUh8ZpQ30NxHnvYtsM3+69z403J8uPe/MYmzLM4NkFvHrqaM2i5BReSE5
UqmmV4TljZ6wtIMjGaRcmFK+S9rSsnvzSYd8xAHlMDP8+Vteoo+rA1mJbh6mKG5//cv9nyRgoYnG
hVtbT29ago5ltEbJL2QyG35fM3xsDF8+7iZq5zwhi9Z20Pr8RdBrToVcJPOwi+b8aiwM68GgK5Pm
cnFRb1RP2JZafdXJZfetMpToAcQAkOdwRpk3appwlKHI9zaYVuk1qwbkcH2U2E2ujjo6EYykYDLW
ICWPpaQJp2RpoDNEuTarPL0Tm7QOnaxqX0q4k7ktiYhrjciaTU9V0j940j+MNl8+KeZ8LPp4W7eb
9cuS46DJfLhsRGei8nDLmXa5KuvlaYrN9R4msOqNoDZvllnGVZxGaW93k3pZbewPtx4mQjSgn93S
LNIYBBVjGkEhj+s3GIbLLTfWUYSRcVe0xJ3aec08iRQKs31p1NV8YNvW/FGIqt6W8oxSVyMaQY/G
RMWujbRISbrFZcRqoahNpkulWOv3ibyjd9Eqkueo0s2nHD/PUcG9/jr1NLPtGkDMKWtkRGRCBTLf
GLSKfJCYZu/awz8oGsxudJvv9H6Yn2pCIeDVVfcc70YpQDdYBaqU8kpi6Gk03ZKfK/hvNVT+W9fK
J6fLb10w/wPbLpuz979vuwTJa/uS9y/try2X7Vf+2XLR/oGv6MO7JxoYuz/ut3+2XPgRJSysIHyl
mHlhiP1nz0XB46KBlsAdgbVrMzL/Z89l+xGnXl0USRXWLQlT29/pufxkrPxym+ibn2vz9xtk0rP+
xS/mwnCN4hR79g9JsuP9uq/vihvpaWsQ9ATd2LWre+/ZoTigET0RR9TYVTAF2c44Wsflu3Ya3/s9
T4uL8i7fC5f5O9xHV9vld2vsGW/TQx/azUvniU65X5zGs3ayU++jHWXgcd2P7zGkYdluHKjCbnPd
HPSX+Er9keyqs3aSXwD1E08ngbd8aO/6U3cQfJoZl72b+6VLYbnPHuTr+jR54XW6V/zqBpmVl18t
XnPd0lwnGeAOsd9OjRzLLy+r6+l+4iAZ2931ejKD+YRDY9/cCJfKm3xQndifgv6kB9mF5jdB6Pa7
zGPU5QMD/ZFeVQfe5YVyNHbhQ3Gz0TLfzB8CvGcTWZYT7QadsY3d6KjZXPOAh4EXJRvj0vK1nXgf
zZfNobauXodzcoB3dogu4qvlYF0uD1zCE5/hh+yVfrhf7eSgO6KnHctLwzbs2s9vwzt5z93rxE7n
3EEk9gqvPokH5RS7BCb58QW4yEPpZ17lqG5vF8H0vQz9dvDiJ21XHSTf8gWv37HrX6NXt4Ujs91d
FpCjkrvz9YbP12x6z+iJnLp3Et3dQrT4/+NzQwziay4d0dtPR20/OLpT+vMRBVU9g55yCsd87m+R
dCqqg1RDe1pPxS65ro9NgOc23Tc7zdWdlM8FX4DLku7jveEXuyqIjvKhvOu+CRfF2bziFR4tXwpt
0Yv31J0mlz0LkkB3jRvG7gzd3xGvCY/ZcbycAvPHcm57e3y0bkgHeFSO/S1+K92W4mBl1CbuLN6o
Zgs78SLxJU9064Dd3B9ezMNy6EsH66xXHKVL4Zb1OTpJXF4muAx8ya7O/L6bOMhUfP2Yc37xDb6R
IHfrZ6oUu7nmnNzYMWq6Cy5aUTq6O+9ixBKiK93NoR+XvlD4qJLq0+hPKHvs4lVzZ7cJgEmkTnS+
Khxbdaqb1OeA7Ru7/N3v7yImzA/IuzheTyaX6RunKgQBHpppB3uxJzh0xxEdfCvO67H0+0umEDBn
Mv6K95RlJDrzfsaQKQHbZz5RnrZTsr3NN3QmJAxW+h/sIyQu/MjDIwoWXSPxYzcr596+eut8UMyz
V+4aV3XDzu1FR7kfr5db7b7gYF3adXHkvzGKQV5a5U73RsK9Pd+D4pUcmLVw5ZxFdnSWYn7C2lGy
082cVnCpjDaCu1y0+2Unvs1q55BT6oleGKitvbw0h/URpU5qHSKvccl6SQ/hW3U3XEEQA5kH0NSZ
D82+9DLjJT8kl9pd84PT+W4xbsMLg8dS7y+H8qQGva+I37X7BiO2i9zotnZLw5EUH97RGekH4++z
9qD6koOFxiXlK+Np5FfU1Qa9HQbPam0nhM6pjHUNW4n3Ue5MPR/4rK93am24UPvu2gN3sK3fi7ID
03WsrscRb8k2JrZN0rHO1ZX6bgJu92af6CX5gFw0xsuUn/OX5FbY64El+6UtNMH8Aw26IzbeI3E0
lk1HL7sWPO7pPZ4UrfN65YXrKz51rSurj7rLCK/4XrePaHlUNwtqonEY3q3ozjySjZTcK18nAd76
zoAYirq/PXJW7Z5pUtmw+G4ax3QjydXjoyJRqnnkFbAgei7fCN76kTYG5di3mD4KrN3JzcM3htm+
4iu3w7or4qtZAl10QL74AJBdelaPBrO1e5LxisfhkSgeem+2ucPMAlZ8CkR4bLrzzdCDLffnIYt9
XX9gameJjzC8q90U22JP3JuH7kAs3fVpsFxtDSr4UPvFeuFaL7cKUr7ddDvdGg+sKQe05XzR36Ca
61A8Igc79NeZe2vsJc3hWF9CcPSX6T02T5EFg9edHrtH8VrU7NFHMUdIGekCwSA4O2Vwy3vhyrzp
du+WC/gZ1StBhPVZUF+MMw0BZ3hqLsnesTtfC6ezFN2UvnJJH2vW7PKbMdwPBfCsxghkWD7VKDjz
W+osASIZJCN7WANO7yY3k7d4ekjm2Tl1aU/Fd/w9T7kTX8cGuR1o/O1ZcoX4ABahPsvWWX9FamQj
iPJG5IPxnscGqj6OcI/KlhgQNPSGpcZD7EObx4Tdr7o83goyukZXeMDfVTxbKvoNWy7OyZNYPkmX
bf8NvLlBYmF06n4oaJKa+k1r761LLTsOh8I6qWLgYk2wuakGd5yd+9HzpjdkiHpKEo6T2oi61EfG
h+NZQsBc13h8eE569ZlgC57tgCrt2eC5mvGD68HvUxlj2iZkSsQrNqzS1t/Qpa9m+aAmqq9nxSNy
qelMBF52G6YO5kFr9MoA+yDz1f3kMoR9NW/MC4O2nNufCaDqcF298q/+nB+WU3ipOYXbvCI62vNS
fKm1w+weNwgNfZ709V5nc1G/xfvhtW5sQq9elSvEmUcNqvdI4IsNXflkNi4gfO1K2ukung+fzzoR
YeAbc8AfYtUWaWbYYcxCq/wy3rFW6UcneGGnnWZ6RhY09T5NDiGS52rXa48T2Y3vwz5s3Xmlk0wP
+hAiGZ39yggO8YFFxmoez+gewBUPu8R9MXfxTHKFr5v+pB/C/kqsDgQSzr37LgJ2/mdf4W9V5XdV
wT9fjeSfSvLge7WZtbuv/9P/wGqcSvV35bjTVi/9Z7v5x2/8rMYl6x8qCZQgs2iF/vSH/3P+KSn/
ACC6Wc3BNjAhpar+v/NP/OYgMfipQUlugNKjQP4vv/lGGyGAeMvkBSco/51a/PNE0RCxrtP/A3iz
5c5vQ9DPJ3PMos1A2hX9G3kenUoXSqKtWvEPrYYPPN1/1fs/X2ZrkHIJ4LL8C/aJ1CJlrMjjgZEv
DTe63IkPjS4yRUvUpr0J52q4l9ORW0iraoS0fTnO9ghynEOwOS+Ck6B0eoy7BaI2ammTm2hpOZTq
ci4ctRJhXwwItjiSKQkszMKfcGFNY5xCpM7JfK+GGbexIo/ECXAuEZ4LBNK3Ex7MhzHLZmJy0Gmn
blz01i1aTBpv6pb4GeZleoSRmSFz6IjUMAeFx+AvK+UvhnOfh1kfF4ZpLhAClUMSiq8vDeSFTC60
vcx/CIF06PlcGKt5q5b3kfby+xf6PLv81xf6QgjBAQDAtOOFmmh4XAjYa8i20In+sCbFg/+Mxo9k
NDR1v3/Zz6Nk1tQHUoNFrpkbHecrMy9KaAMrpRja+C9LIPvW5EVpDqoxNEJfHSECoCIy/tDa/tJe
+/mqmOQhh8gwu5EXfF7VDUCl0Jrm0F4VoOaVNSYeDkwOFEtB/BTZuSUuCj3zp0wmJ6fpCV5Z1NrF
5mP+ofX1ASn5ZeXLoHMUUHl8w9zMG1ji81vpCpyYUYF3g+gwrXYRb2lnTZG3TjVJ10QRVgSS2hDK
rAuTqLnZVbu8ODdJqiW7aMwtKvt+EE8SroTQVsJ2eUyA89+oTTZcI76zlkONCnlyxoypgq0Ki7AE
ajostd+0OrmPWKhzbFITpvO4rbQHRtjda6cM3YmEJLZwCTPE6/a0EX2xkDj3Kq2KSIh4l+WmjkZK
NOhAhA0b2sIWU2mdRRWQi7NnaV36DWmO2Li/XzJfCDMfV4z2xIbh2roRHwPIX+YSmm5Ea7UMgl3U
Jr5JU28ellBYXutZXv6wOqV/WZ58OwZNDwCpFmMccZuR/PJawBw7HX+pYA+6lDs1zH/dMbuhPymE
rlylPbvxvMmcOnopF0KGxJcwp/ZaSytmECOBBbTrBJI7lbg6LGKb4nNKU5JcIej/YU1/eVB8XBWT
3cLctDKybGw//+WdmkY2ZwvjSmcphSmAQMaguVuFxOWBWd9wnpgq7/ffwxe5A3fRRn0C5AkTEJrr
v8Cmhritm35BCN5wjzGlMczviNcXbJUK2nZ7qduIijYVKNwajNC7YsGMa096RkpmgubsRWmV7L7P
FS0i5i5c9s2KWcaeyoym4aSBd0gwRJZOnODE/MNw48u+9vHekRQBa9EVBcvKl/ELTd9hWVW+2KlO
b2tzAc1fjdur//4a/cX60SRkSoqGFBqhxZf1s4xVpueMJu1VxThGE7SH6Cvf9mg/r5fWnBzTSM0/
9Jilz3Obj++F2wNmuWGg6ZA/BBK/LAUSsmjRDoVgY/eXaICHy5oGmoV1FELBUD+rNdlDjDuNSCEm
d85HjOZiz/aC1fDu95//Ly6zxhBB3KoRZCZfOdnqQk6uKZIPRCQQ08xewWicDOGfVuJfvgxOWjSH
gDpZbZ8Xf6HlKkIxFA/ZOop7croqj+C3IXZionowhER48UbgCHsgI5tzG8A/D0RsJXVVJxdVbuJK
HcxwtiMjli/+Hy4BRZxBxBmAWPPLxrqACkQE0AuMIwhhxFsl7Kl2or//KroE5ViTAZ9v+9rnK1BH
2MAaDK12lErQWCosA3ItK4+//yzbHObLZsWNLnPXkFVA+Ulz+NeHjGFibFxnrrOkxIUv6B2nj14q
dpjh1otZz6Kdgt/QWQsj3P/+lf/iRqIEBW5JMsPWgP5yv8rJPCKoYiEtWTwkR8gWAwSHuTqL4BKe
yJhDIT4R23f9+5f9MiL8uJd0VdnGnzqIe1788yfuwIMMKjlRGMAQfuMgyN02xSuYZHp6I7Bt7uq2
R9I1KCOZbjVq71Qadhm2DVQcRn+Q8mkhs24J2Wg7OoG/f3t/8dDnttpKCFD3sBO/rK1BqjD1J5tB
1milSxgfw3VENGGNvmEdT2Yu4en//Sv+1QpgH9yeZpRu/7LNzIS+woeRaCSbNO2aoluPyF6q1zLC
/g2ErnMTxVDOS2cuT79/5b9aAUwm2NxA/8o8Uz5/E6PSNHmaKpt/raWjjmkJnc1EwyFR28QuBj30
YjMdbv72q7LqTDYIg+JUM76seHTTZJTONFzQ2wCImpromWl4I3mtwkDe1qRkQNM0rkXw+9dV/+KR
ZkJNQV1JmbqdAD9/3HZui2mgdQqfiPBxFl3V7TqhkaVA10s8bCVhRV6kizVtdMqwQ0045nhQikH4
gaYM/wBdmTXaNaMo0qEM02hXEG4uAV4qZOANWpTWbmIt62tSKCsAkaHpQluL4CAR0o5JkTlkuP4f
7s5kSU5l3dKvUlbj4pjj9IOaRBBNNlIqO6WkCZbq6FsHHHj6+tCpW1cZmZZh+95ZTfYx2/tIEOB4
8/9rfUvvTaTiD0QOoT5XEzufI2JYZ75AyzTba2apqrbKwnhwpfJZOfu5pmptxWw7w5ZO0aMkymTA
E7LyrvVgzwfZqYJgLeQDVDB6b6QGbysThRjCewqw0+BMOBK1OqcPeuNL4TRME5uPee2tn2yPSBQr
aNgjqCjBmF1FwDR2mVmMFtvZOjkMcTVsszIXYToW+tpwbGgkYKo+Ihi1j3Pe1hf+PFBnSazgY9sL
eYNvm1PmmXfOKz2ZXZm4PY8MDz4udAkvXznQrBh0SRJjo63cnxlz2nY22vEMbXWdsV5dhb8fiRZn
H4b2y6vYQTeRPJWx5UoazhslqptQamSPJK6BSvGjesbKyLkJvhUKsTT3/mGQz7r38j3UDYGJrJoV
cR36f+1Pep0PBEO62OczA6ugRDoHYyc+w218a+/OeQplq2ev5NA/+qa/LsMprhQcnqkpNMjt7ELX
9PYHwMCRXe5nh5xumuNNgMZDyIMju3Tvt1P6CbtrQOxqjqOqnLvqc1IzbYOxEdvAhDkOVw+dwvsv
/vWkypduU/mgWMMcI04eyBwQZodThcFZeSwUFYHJ4MazJwyN8ceFoOGLOc6eJqItz6yqpyEuvAqQ
oDCj1zKRlKjnXr4KbcRtaYxsG0bhEpObtbRJZezcIOOmpwUT9Vgv4ES6Gc4UMYzquYxjddn3or52
dRBADdPTz/cfxuuJj1sCCcJytm7O/1D2/3ptjmfOKQoJ9kuGP4ZlrdU2qagXv3+VNw4vNsPfYSjy
4FeG/Mtfno8E3uqBNkUn03Q/QD4LW35mApdbUARWJmS1Wd9pTv9fF1NEzRZMRUbALgwilYraRv1k
EaJkoo7YdiNg6G1aF7cEmXuHqk2xYKLc+vr+Ta9z/stPl3v+cw6VPsBycbIE6jwt676nVqB1/R1A
Ht2HAifBNnWmvD/zgF4vt/D7pVhPdhIbRXDyfGLQVoY583zIg/VvhqUrsO8XFnot4T5i4GGPAdv/
+/s/8M/LPf2FZCYJYZPAhCjudLtVUoPrJgGEIEgePTtq9yJymKVlLqptMed08I0yMUkLX3wktYtN
NRt5Z7LNJ9RmKZDzy/fv6K1HznGayie1Br6Sk2WYOEaUVZynNlOtxD5uJypSRqM7QqtSeqvvX8x8
YyKwKQTBf6UoxOR88jlaiUuRIOChy8qw7gY9zbRbsqll60FycJAfa2lYawQjJ++diCuicJD/yHSb
gFuhVC8drNS+hEHgwRyfvhBb3SiQXEmf3QRI/NN9j/8ZppnjJubx/Zt/895Xww2VkjXx6mRdKY3Y
9PL1g/JGUwOkyrJj7c8BTuqxO9SdXXyQEbHosSPtc4aUN068TBgUPf4U0HlyJ9duK7D6sfCNTTF7
IFFVaWLtJmA12wpjTI3bPijUdZ+zjiM/KiJok5ZeHvLOz6Izn82JEHk9MHArwIhRFHJQYul5Oa8Q
aBlNzWhSMbKr9EG3mUMFBiBGNzmPvurUcVxw36fC6sFwGeOXpmjxXOTmnD22mvDCzAnYq0XNWYn0
63Wf+gPvBdD6WtV3TsZWOjcCHCD2ZtI4l6+D7jN3r0h4/pCOMIMOmNK7eDel7XgRYXVPLxoOHM3j
+2Pkjbmd17tWs5G/Acw9+ZpmI1KBIoGXarbdbhgnVTjNWC/ev8ob3yys9VXSaWK7YDS+fAWVTzyU
XzOJaJzJzcZpkZ/WMvNQF9eE+L1/sTd+kit565QeQERjV3t5saweczEUbGY6i/LGJsVRsbGzdDg3
H795HYRZAukVC/Zp+mFOkKtjxuvnVUXtRVIN4y4XRXqmHP3WskicCvhpColkqJ2ed7wiHWd7WOe7
gPB66Lv6MwHayrpI01p9c0sCdi+8XIKfKcwiXGIzg6BvxD+lHgaU0n3x7A8mZTVCSn6XaYxYR7gp
jF1sDDESBaaqeiYa6f6fvwTKHqt0DRUpDoCXL4EKo+PP1sj3P/nmLu2ha8yisc/McOurPFmcKBai
iOV9u9QE1lf0186kKFuqHzFXMSoyFxTTKtZ0ZT5adeJds6lVZ8axfF3Io8eHh8nyaIqhYD9Z7+Fr
YaaHkrzhUIDmZWqNJykTPO6LGg5xh54mLaPpGidOvo1BhIZ9PuGqgokH8hRg4cWgMRoRsVsewdHG
+9bvJB672L6oDevaDvpKXWe9OheT8dZQhaMvGT+CQKRVQvj3c5JLPZmNFxmbmpMTZ9QuPRozeOJ/
/s7pm7LQmLRNsXq9vErSdxAYCg66Ne7cy25BneSZXX/mKm/NJbDYqav5lHBfrWpLnKc2cAgDIFsU
4AF2GzLFAysLC7MEDvr+T3rrYnC9TcYXPT/3tNk3LY4ou2I2Nk1SJiuoGwG6orpk13Fw8f6l3npH
q03R8plQWBZO3pGy8lZXLUMLVgTCKLNTFwVxWWfKZ29sInH1+iZ1aIp2tGteviNwgV43Tswm8BZ6
PJpet8daRTNZ3UHpBLaF8/+f/i66NXwuPhk4kmPfyahwVNo11sChL+Z0u8ntqblxemM6c7Z8/aIc
h/gGR+J/XU+wJ/MNVB+Tcgfr2DiIYi8MDzcbng1vZ3pJfPjnvyigV8mszzzAmejlMxwys0uMNXue
o5wIW98gd7tVy5m57Y2Jn5oeySEWsnSHU+j6k/+a3PI5mdM6quJtNCrjR1egSZvMMr4EwqqPQ2aj
ncqK7k7kcfYRL1qzEUVTbSddmB+cbB6OoOHwzGWgFsxu+JHrKrifgPZ/sGHefOZIBX/p/efyxjvA
YUavHuLz2uw42fNh0gPJGDC2iKJaD4s1XRav1wFd2kh+ff9ar8cx9QMpXTy97M1xRLx8OLYTUSUx
qZko4TVwQGkAzgbwjMrqwETGMNLuU1/3zpmf+MZm8uV1T35j0EfDVNeMZiOmvOl01jNAomLPrSyh
55fOQ4Fv45DZi3Hhzb17E4z5c5kHS72Zjbzejz0glTnX9fP7j4MnzA9+uRRyY2uWCGcVFBGnuWil
S871HCzp1hVJ29wqjFjGo2iWorjswIRl90s1wv2TcWz+Bi2EpxlvupuFXtdnza3TwFfddp0hPuJv
Lhx84EPLScGK/Xtafq595MUXnKO1LT6vcy6nrchS43YcSd1gcxw4WPayGu2nWEyJwqtOrM3qSjeA
Que4YTNAEfnlGCyYi2htSaRpvjWRQL4sZhb2U26JLUUv8atYlHtHtZzT7aL1cEvZCt1YFXfVj7E2
gfb1g9MgcnMapJjRBApny13OzrbVDO9rsuHBRqd67ef2tayQjrfZ/GS5WZFgYzK9dBtHC4A+JO7N
FdVEkggJfENFky+5/jFJcrg2PvqTjj8YONceECAnLDMKUQA6guSz5zVI7tTQLpqw+cD83Hb4hq8c
tutqx06NHlcqJoFXu6pBnzWDaX4HtVF9D6hXVuzSEmHvc54JDPMpgTKUG4b9QHM4ZgczsuOHHuOh
YwsmOWwU2+VkV1fS+gq4yv6pVFPIEOq1fRlHIwLfwhnHA6x1I5xM0XgbCoYdWw+Sdr1NpPrlR2sN
zRMMj4298IQ1OabWJklbpKmSHeum0xZUTrO0PDIaAHjSpMq63t6UiAqCjUnyJAUXWkCcloj3PsDJ
XuleaZJYh6RLizscntMXhXTjC8aZW6sdsosudTtzh/mz+9Uqaf7Ix7Z+igJj+bQUgNDBd/eAnPU0
kWlAPQtNrKiabuvZVpOFVpkk3QpY9AD22DOwOWVYDo3zOO4fzHFAjFt4yvxMDcRaLjMn8a1d4UGB
DEtS9xrigcr5QBQa8CoARjoJ5dg7/bYcG/nJ49u9FZ07cygwfeOpT2f/B4i5lVzlx8m9xZ81AZOo
btkKEiPdbbM0+psyqZNvVAVos2iz8oPTu0WyLeU0IXjtgCZcDrY3MM6gzJm8sS6GDee40f2sCyk3
xRib19p162KTTaL/OM5p8T3PSv2xsL3+e97NdXbhaRMdfMFmcKkml8Fpmuq+zrIENXmXpoDF5xlY
X25N5tVc1523c9xBFpvGIp1175oTjCJhLXG2RkpC46n+YDdnoiSqDYY5AeCqbaJne4KYBZzPRn6y
zBFwTzHCMUjKBsqbsSJrAw+Ag4MnCedoQFoFTdhBxaE9+R3EFz+efgL5QkXSKhNXdIO5aVubK+eP
elfzuSizqg6LVo0trFPhfB+8nKyRBoQCYR2x7S9bVVq2CzuGpIdNQywReWkugQ9XqWhXrHhgLnBg
RidfP8LZeso7BRWihBxxxf2CtUFANv7OTa96MAfOm8D5HE3aQq/0Jb5bzwsXmSAgznSZ/qoDExSa
J4zoi0vm9XU1+5lGPhUF30RdjV/s2ofX6i3UvzcUuTTi+JoUPr5fXDVbEQzljQHWDnoOYS0POPKQ
Iq9liqFzTUUkS1WTEtHLIgEQt/TQCbRVcTJw1M1iOvO4iRZHfvXGBPgNU/awTRScdgoCy20wx2h8
KqQjBCa3izUf0Cqgyo+s2R4vW98mBg23tomLwKyCm0rVxY9emUQHArfXO6eB1hjGqaFvF/AJ39ux
UDdC17hWGnsU33U7FF5oBBr2cyaIitwqlqmt36X576FzxBOpHjJhM6biWxReKVpb5B8uxH/t8Igb
X8DtqReXJBHaNHfat6gumtM4ZXBgFdiuZgGAZbf28KEY+sgNHXtsyfEwBvyyBFMWD7GlW/9Asct+
MGXfY11o8+xO+G3ynUMbNfUosv1n3MH5UzoP/b0tx2k5krctSZwBYwiJQoz9k0iq6M8EBIJcZ+3H
jkAVmJKJWBgflhH9JpB6furRTeT3rrUUX5i5A/9a2ByWsds19Y/ejfLkCKcLxygk4QKWsFs8+kVL
KE0rWKwgnabjfSdo1O04stJlAQgbG1dGO0ceFaHExN8ACAHi/ghhnU+znudNU0zjdRr1+pqAaDzr
bSSeoYVNAzEmxfwTWkRM+kRD8fkCfm66UhEJHdzYJKJ+g1aJMrsrdHeVsGgXl3jgYVgGEONDWVny
Y09qvMZvYynzKGc3YuawovyGljYaYsRGyMYCItf6TULFEnU54ZUw9oAz1iHAKfZDuTFDTw5Kqeio
pF7wzAUii1+eq2Sf+L1JnHdnJY/aXzp5iNDydBkG28KKE8BvfHCz0dHozKOsVMwAaSPpp4McC2uG
4Hwk+9v4qNyARADl2PGPxZ5LFS62lh/JMjDNHS2t+qgiBw0PREj9Y8WJE0PEXFnTOoDPG6aiw84Z
xYatt6nf4QKFVxfhq4kG/7tbVyWidepf10FcL7u8TJG1Q51JvizLaK8MBhu4X1fa4laWC9VoMItW
cuh7a8WOml7sXkA1IuzCAsiAH4CFYzNDNvk0mSbt2UlE/H1G1SYQ4CJPXHcNCTJhIwiNj2c7QM09
Ob04yLnTeLbMMfjSxn6MjAJOzuUwu/B2s7abPjA1C9ABNsytj0VllmEp+zII4URgZICvb99MugZQ
XgbNiGAfiRxE3kbAN8nzZfDDCPMe+QBB30b71jaIQvGSCdxerPxiuAZJEPx0Ok9/paiJbWzOIu8+
8KFgbYoug9FLA758Zk8IHRMarmKAj7YYN6ajrWf6Q1AOE/Z8xhY1I44OF9qcuSGcg5k3GgKJZy/I
5EdXDcGNkfX9XRMlyUd3aeMbIqc9XDOKr1cSo0ICimVOd13VQbmcCPrIt2DhxmKbzWr+xuaPw0fj
5DILI6EhmwszzcdN004ztgxnVLfxXMivOUnbTFrLvFpUBtf7WChooYE9aHrdiQiHpg1+Z8o1ngfg
atdimaGJ2EZrpVuTNRTbVxVXe5lqMe4tQnWOTtbpfpfAN8wP9IwkCv2gaO9glUxZ6EC2ie/4PpIG
3TwoxW3Nd0giQGz4XyHwJ8Vlk2VVcVXY9jhu/HSYsyuvTDrjNsP43IUqKbL8IneE/WGoSviBjdcO
0FDA/LUbiQCh++AMbdSy3JU5SGOnCKywHdqqP0hjHvyDJ6u0uZz8LGefIDLAikYknOwAR9dGDAVo
ZhMYAxapzsju61QG4CnpMhR4Aw0b2EBcdY+itvAh2YszmuxZcqxW7Yqt301OBgQQXkP+hFLKlpso
qMVnp/TiB6eeSnkpvQmCyeSZS+jkTQl2L5jZZjNUPnVezhbLivzsCPJJZ5c+JPQPFXUzmlcTQoON
U1tDFeplTPHPTV4x7JSrvFWaBrb8gtE+Havcx/9sBRPjenYM7zqfhFnuINqV3jWgv8DfsK8a2L4k
RgDkRavgziw97e/reYx+jiNI6v0yFbiousKRMJ4HB6lzVfvJ7xEkKPfGZuVDUc2CNDO5rBdH5oA9
xJc/WD2nz3xMzrS1UJHf1pZ2KJY05afGTJLoopFR91U0QXWDfDuPdqXQ7aHWY97gIy3XbXVj4meJ
jd7ddUNMj532gLq27QGjn9OIubzulsGId4uIzG7X9FNz9Nw6U6Gt2RRsxOzAWi3U7Kl955bYW2q0
atAmvSHPtnYem2DLyzkbdk1U4SWlLIfTMCe3FcMMaNjPyOnXkCGWlSMx6/hc+kDl5W2uk7zZ+aKI
RuxYI0kEkdmWWCQTi/hyx5r58/8rXrrcigcEP4AP4SeyScRz2o9Gu6UNo+SZkucbDUBqHJ5PerGL
C8D2Tuo3OZFA8wgBeZvPToNQuf85JDbnvDlBS+WbEc+BYAwv1+K7WmMKEjGqy6KZol+uO52LOH2r
xEA73rPXoE5EbyflqxnxV9WVKzLbkcDbjFz98vIqIlfVhsBx5kz91onaN1edGdIpCpsvSwyORVZE
bfVsX2Oa0KUZs4lesvZ3ZUiHDLdSnjnDv6Fsc1wsFy5N3j8q3pMnbbUoHBoYo1vbpXks+rECk2As
Qb/xi+lnlJT6wXUqpkCzbB9zw29u2jmwd4Mjx00bATLeJlGAr6kwpumQLx4t7/efyFtFF7Lr1/ou
YhUs6S+fCNJNUbuqQdEcc5fTSLTTJpgy4J+jD/C1QZExVPV8ZgSu7/SkskGFAakXZDuaVMFJac+L
WR35oriqVQ9XxmSSi5T3WRBmdbDslQfZLvUt2O0EseVninCvr83gX/WrnnAsXPQnRVkZB1HuV1y7
W7L5ss61f1Rjqb7CvXhmVxx9mkoKBcow/rELA/otJVPilylpStqELx816SqBVWsHF4ahh0uOP+Ul
0GRCEqiCkoswF19okWdnnvT6/l4+aSSx6HPo1yJYNYOT4pbRmUGxLEg6LWjZl/hcOCgs7INg3SfX
/Ifi8P54emPEM7GsOKOVqQKg7OQTM0Q6TG2DWlIZNazTPiuIQASOC0WHNkIUuJEZepPNSimDiHpl
bgwsKag9k7tAtNV+Qbx7aU4DzT47DZKtlja74vdv8o2HwjLIDIgshTbAqexPZ6PfJHKK2YQ07kaT
HL1Ha5NkRBS25s/3r7W+1ZMXwCBbBzoiGMTDa5Hvr5KvNmA2TZWHQGqs6+ug9jrjmNkGTnQLY6jc
9oEdPw3LZMQHKxGQi0FAVP7u/Zt47cWhnoNFhI6miR4fM87Lu0B5R/DMKjSR0dyXl7VcXB8gQmrf
l2an74y2Nb9N0QgXoGLZscPZkmyssF/4Pw1DEM9x5n5elzZ9YIj0DsCDIXKW6xv666mklm80f1wN
Y4bOtMUPg3idDUaz5P5tmdQUuMukOcR1C/W2XUgkG6x23w7ReOyybPw6UgvER6ui8P0bez0y1vui
B4U8CtPLqfa6k1NgkVcao8IpYSQsMPK8dMYuFfvGsVjac2rE15MRqlcaD5hKUMDSXX35HHpjFC0D
kdZ5pf2nmX4VzW2Sjdg9rEeCeGZ3neUDAhyCcvWZt/DGS0D/s4Ip4cLSSzx5Ce6A0reJZtSveu4O
XYuZux8L78zYe+ORMvLwJuCbsV3/le7OdbPFXIWICUfGhxyV9adOLuZeVYu68At3PmfSeb2hYEWh
I8aHgoiZns7LZ5pTpjAMhyVtaLv4xiEsKqwywAB2r9WZ4fLGpTyabphAV5ubsE6m9LGUndnbmHOS
ghzzpVfZbkJCs1naaDo3sb6eSLgCg4X9LU1qftjLnxV72NHGRLBITwm0sqFqnhK7LBqai5VPEGk8
afJaNJYywi+OepG/JQT1EMklcKmeCvLg1fUlsm5I64Ox7KjYQIIeVogisXL6skAVe+ae33w8RNSj
B0aGSr/15S3D8UIZGvM1UbvKftE9Gq/MWpv7VCzLxfsf7usuDt1p3nWwGslQowIkfjGjjFjoctij
wGGYsMqbbsiVH3pa9b9QlpOGweIyfpN5vJSX2WTHdJRkmozPrUzyftctXQvSpEQbFlq0L4DLJEEc
nNl5nBC4kC2hm/CZhNeeDpLF046m1QsVFWJZQxctd36K0ykGi4atA4IDlespjI1xLg6uWSUQaSbS
MB7REykExDnxT5PnEHGGKmLFGDLF79umrTECNiQIsp2skZbTBTI+xkUvu/2YtySsEYabyo3EqETE
xgB09rJ0rI6kipT0tL6Ipx2SLngVUBEFTQgjn+aPii6FPPOh/FnmXiyDlPlWUQ3+6nXjfTrXRFHJ
cbWGjdOxrTtoOHNTWAg//0btwarDxR/KbEf9kODHfLYLIohsh9oXWsH5A4afab5uUzKXASm43r0i
Z9j6VtBwuLfSbP7heRnFwyywl3rrkoeUb9h9Dd8IW5aUGEZ7LnbZlCaKzmKa3L8/8F5NovwwbLWw
D3FL2HQ0Xo67No6KnP0m2cmCg17QOVCau1mfUUi+3latYGw4UpCPfXaRpzRonpQPyx2MajZEzXVW
DsF0UNWskrAo7Q7cn28sj3MXVZS60wqSn58pQpKHpg7Hhu4mNToA+2EM+tS4otIRyd3oT9k5yNzr
p4EZDtksPUsJluxUvaNrIs9qtEm4kxpBtycfjzAl3d0/feZ86EyDPm6v9Us6WbioiTgZHytFpMSL
qYmjINjC0k+bM6P21ZTrIRPxVlgzIo71wPLy3Rr8e6lKlyTvpklCchdNmKILXPyyr+pDFk/u1bh2
i7YKxs1l56S5s3//l77aH3AHPE9c26ih/g0K+3ufpEWFJWfhDmxZw8CyScfzcKBd996azVqC+NjZ
xEYcJI3CT+9f+tW6zaUDdFGck9DJ0o9/+eMn2u6DSA16q7pdthpfygd6jNEdk455O0V5uX3/em8M
nfUU6q0OKygI/snDjvjKq6yg2EKSlrggN+Qn2Gr/zBv1Xl9l9XVzElo9m+uO/OWvijgJ98U8ZtCu
Sucpp0yd7wmQpprfsWtIdoQkxDkNygQvTioGkJALltKZGLKNprbUEsRqjTd1qoYfhr0iUsgw8UHy
2QARx6oqnizPnb5HRkIeQkNioxkqqZc7BG3yY+F5vbeXhDzDgllqC6wid/ptaszA2A15Ptrhwjfl
bj0isSLMUKrkaOR49XBDPuealIM+kn5/ZRj3KaLA6JdfWO14xFPjxvtST1awozEblRuNdrgIcwOB
QNjbZb/sKDyvAJk8ju09Cz2cJrRY7pOMsF6HHZyXW84kun6oKf/MV5PMF7Tn09i3O8TYE8cUNRWk
tjR9WW3oa6svC/osM0zixpnCjBxOcFruUMtDT3I0O4rFqm8MI/L6cJwVjSuYk+5tjPLK2pRTET1k
Rjc+q8Yl3VWITKuvDQ3oC8driFTkLLh0/54y/hEP5f9PSiHivL8+tPC5f/4fv6o+7ecV7PK//+dd
PT8P5S/jsUr/BhX++VP/l43yLxi5nAqhC0AykezU/l82hP8vFyGxoMlKwYxW7Fo++I9wCPEv1MWS
6gI8EZzXNpWl/4CjBPwnfKS0OtfcZeT8/4BT+IcP+587BwAsSOk9JiHk+rTIXx2glzKqbT8lUW2f
3Zcfms3H7fHq9ir8HYTHf3ggYkHhdlG9gD2gPkRZ7OXkgKC9FzbuW3oxYS3E0e3iM1vAk+nn31fA
IIeaCgk7ERovr6BU3rI94Qqk3nSLdxRx9t+8wron/+tkDate09nlCvQfaXofaaP/V65gC4wjTKTs
SXjxf18Bda7CU+aYm4F+tGMf26w7c4UTnRwJIOzkORIjkGZksfadHOHiBsGTRa7BhrwKeyIVrRH3
iyr9J0zmhnklOKtW/DIUDZJa3oeKTL2dbICu+VDn4SW2CJCupta0PVQmYl6+dOYoymM7VZ15iBzE
PISDCGLiYLQ28sxC9nLh5OYZONCcOYKsZmYsVi+fT1vnU+u2ngk5nvi//qcf5Jd2LXa1ts9caX2X
//lp/PtK7G0ci40nH9up0p8FSCWiMMyNnBvCUrrsavSW2yoplzPL5tsXWrlBrM1wtE8G1UIufZlW
tFbtgSA4hGaWrj+nKIT+mpk+/fvO/w7JeP3kqL04gc2mg9f+6vub3AIzizlL5OxFaI2i3haV/3Wq
3KOh8zPXWkfpy2fHjtpkb8M/OJBZJ9966uW9DSTYohc+EXO8bwFkooHYSnWVeGd2cSflt/VFefwo
6gNUf/nfP5zyvz7K3K2U7U9wxqbSwin0WVhkMV4FUERb/9kb77r40i+vLYg47z/Q9Rjy+ndSjwVf
ZUO/Qqp7Mhq1DSCkqVh2W+kMD545Zu5m7hD+wc8b4ptKEx1G56fwftJWLi7jvlruLD3WO1b81g5t
ioT1sbDn9CarqaZuc7fhkJ3UNJY3LiF+XxpdFoeRFlu5ldKorrDmN49zgIdh4wxZ/xDNqfmVcKfg
W+S7GTI7aOArcKiN0tB0iwFZUYk1eJdargaNHDedgU5JWNcZipSL2q/4f7euHr8Xja7cvRdL/Yic
ZfLYsZmg4Bzl3zmrm/ku7j272sZwmKdLaMfCuoobWlg92SKfijxSy8awonYAWGosl2yYSVEm5TS9
s4b4F0tDPG8mURGKE09BQ8LuTPcj9F1p3mvCZOTV4DfSvQymuL1HKNjVF1PjdHs2ZupnOsf9J6dK
6gu8G9WRnm2xs/ty1fpkc1KHqhlldxjJdvtg2RqNZYt8QGwTDwcNYpWaimu/NiyIEjeb76Bw0DIs
w4J4rp/zcrppllaFTSTb8gMxI+Nz5A/1VRu3FtykVtwG2PM+mZ1EKwLr99pfIo6jo5vayAQo8lHS
EPWNDOqx3NOlFcM9AHA4jRmSL8iVAPqnD8pQsb6KXYVObGsS/gW9lczo4aBkMqB2yD1vJiC41vcN
xWxEIqmffyW37TJjvjvSoAaB6nfW7Wir4F5XTN8HM6aRiIRvKyA7MOws7zOyjeja6IIW+V4EpBCt
ECUJXqbcq5aQVsKwx0ui1khhFR2FI8Lhs+pB89XsEHG5055QtMC+HpBWkiQuKaBf94hzDovvGp8b
uZC6GAwDocpuNgBbnd0u+ZTPwiO6IWv9vZu5VLv6tKYC0pMXSJMno9RqdekFWTVJfTf0s2j2JI8E
w1XJo7wJEr+9QFzG4lFVs54fcsaOddD8dfSoErPM8SAVGGOCh57Unt2wctu7voIOqxpNg1fVjGXy
EIBVxjOyrA3mH71XvfCKy3alox2cdkRUuEEtIOSNzmOV/RgxlZu7aIp64zg7QaHvXVQGz6o2gvrK
miLvoqiWKg8nfHbudi4D58HNK9LoegtZGUG00D3D1u0Q9S1IgfvQHlQQhSML+sH25pYYzgwiULkB
v29cQJqD81HXZvdUwQew9/htNBGPVr+v7Dm4p8qY7x1EbKSFCtk/y8JO9jZYDgwnuvs00fr4mth2
81ua2j5mdFH3KZIUYlM7yLutQNtG4hEf11TgNTbtIujCNF2LVkBqxqOafeNRRRll00qXAqZqPCQ/
V83XXRThKwTuVC1PnWWtur+mWIBDZ7LeOpGo9p4enUslmwUNC7PuflRR/8W1Ev95nts/wIPBIk+3
7z+NQ8Z9GKRebSS1vstV0Eoankos81CplPNXbAR5WNkR5s6GkryxwzWUAIdkkhtpveJttJf5qa6a
5LnsyurarAg2z1I38g+abOR6x14Z4bFdJkKjvJT44bomSh/ntIPKUyqjOzhlZHShYBJPd6IQ5W/d
t36YN5YO7sjc7dyDCFBqX3HunORN4qXK3JkW4Tph7nT9QiR3KoBmGzEinNIhC/popN0i0CxX0y0B
Irr9QFpyMXwuBwdZcNgKIBNgNdPGhrqaIiUcmKL3UZZQSEwnOT1w31WI8l8/i2wam6+9VwbAi2F3
AiLVibvvRyLCrqzMq+xjYrAPI106Q57cmvogI222B4pv9U+3tpHheZnsLst2jaIaZkrMXhHQsCbj
0bhLhFfGexFU6eNCfthjNRC0MWdVcxkg8IhRW8Qxvot+/uw3lgtwHPv3B2Oma/jQdgRHr1Wt6tMa
cnEYoIl914Ppp5shoI8HZXRprJ2oEQ4/YtFNt4Q1NVdFF3fese4xNVy0kUk0cV7Py9pgWeZG31f0
kRYYxcja9x7idfuT19uq/NJHrW73diqH9BbrPNjikobkQC3R/FYMSDdDP3Va+xONvey6hW5xG5Mw
Yx/NlrilI6KKJIxHGX80EQfeVc0gbaq9DZxkDtbjGuPVGyx27Ty58bNLRHP3ERXMDByumCd/nw2L
GR8n3c4SfG7dNIfO1dMVBh8gAaoJ4g/zaIJnoVfXXczSqO/LZgwavpw+La5iZ3DGEBRU8KmIqQHs
Jgl84XKeStwNtodcaGP2a1TREHUKuHZkBBn1ndklxlQVyN5QZyz5leEsgAiyhmLPGPC1HAG8gl9m
beiOzqTq8mMXkJabith5KmOJwDwjQlzvI3Psj4s2y6fY0MuXhQnA2xM+Xe2V4SNVYrYdUUS7Jl+J
66BjzGViHmLRDZ/6JR29azTLk7m1xzk29zlR8y3mtoAImX5BTKQnfWgUX1/cpx0J8XOUggxWgtNA
ZMGvldEO/V2JKZFdxcErM2zdZjaxHdl0DjZLJ0G2hjLYrA/JsqTTplg866ITI0nTeeDqHs433pw7
u0ZuucuHUdyXiWNUBxXw3jcKz7j3EcFOfGdwPqn2ulnsx4W29f/h7Lya49SiNv2HhipyuAU6qVuh
FW3fUJYDGTabzK+fB381M1bLJdWZUz4OZVk0sMPa600s08gd4Mj0zR7cp8++5HnsjTelUmSB01bN
TSMU0z2lMQqdsJaF7I9IzC1ti59wiSdhZfCpF1XObKaqi7GvQGIRzdl0Nah5ERAcTNxz3hXlN2Uq
CuYdLCMTt8IxxwTaSAVxGvlkbmDqV92rouCbU46LCnJoCHVvEsGVn8pozKw9nAolRzqUadh0NDHx
TD7JTLO8SzSrBT2Kvlf6DNlEM8fseURkyzYmC8+9QZKZlUc5uV6F9sOF0DuhYjpkkcq3kMNi0Q5S
MW6ALl/vBg7xOWutzLU9XiupdYiXPq+u2jzPQrcZu2RjlLTZ7rVoISq4reocs+qlJLZVqeIt+l8M
qB0xP7pt1Q4PKnm6GjkpV27cyLDCfjQcY7zhVSu5AVLMd9HoJSSiFk0QafTBYmY/pkm9avKGp2k/
kY6zKVxLLiGppO4p1wq1/d0oOKvrQ9vAok+tXQtqVLHX5mSBOFFbDuehHJt8Ew167u17y+luEq9S
v5bNJHIWEhKBlGWYj2UrJhNPF9ptAR2RacbctzWLLxjeOYnf1NB1/baetZOOAnSFnMzhpM6IWK69
3ATQnXqveM3YXCkMINUdqpwANB9Sin2EhmffZdFS3k2zU7vfR9pu8bOHsCJc3VMytjTb+RrFkdwm
hlg2BeFmFBOK+lWZ6JwHdHPa82ToFRYrZWsf9VJz6Te4mLB63lgqAYptV9+6kWIEyZws00EMlIvY
S4qpukLtFL2W4GUISWg4fuUYBR0HDvusPDhVAku/WjDKwOc9mb93hLQRS7iKpl81iaJn2zul0odI
p2X5YOUJS0iHFiDopZdQa02lE9Yk7JT01IW30Q2cJv12mJKArBnjsZ9LzgkACPPVjJr9AD+zLn3X
jBT3xI4xBAXgHLxas4G5ZcKHhzCBLTXUzjnH5xo2XzVXhrmpPDtpw3mRyiGfm3zr1Em8z7wsup1S
tXgU7bajlG9pCvmpNzAB1MnoytvF6loYt7ArF8xz+mVBChxHHDfgX51HPcMvdFxa98ZtsgpnCMO6
6dWZM5RZ9r+L1CqemHJQRQUpLq0n9K1CjvNvLWZmBSzN82FUvWi8sqKkUY/4vOHkzvof/7BN0e+a
hTT1p95AFeJniO10UqTRQa41qrrVlhUjnLXMGp4FQBunMC+DOAWms5EWKmbUCbjHSzwYTm0B92KD
3ValBV1DXzaSU7Qc0mWZ40OhJCbgCdY9uxKB6hBgTDpmBxLbHf0gsyausDWzawNbeim+pNLBYrMv
JjFuuqWvSRnoiZ6sE93Ao0qVyYFDFQyfojUweNeycf7BbpBhK7+A0fhTopLD3qznLjwjuGrVIW8p
Bmefxd2IuEzY7V5kMemc7mTiUS9tPbvDAKh5bZx2uAZetnYYDHphVHu4gelNHtWnXknHL8gJBjRd
1TQCWAKMdiybcTc5mxFZUnOqdS9xrrpIZOVjV0Gyhi2f9c6mMUT+xeBQnGORUA7301AYZ4VU9m9u
q2Gqmkz2ckSQ0B0HPA+/w70l+xR3LrW6Rr6m5kzjTib3NpCpzTZppgSv9cp8VAYoNpvGVKeb3Omq
fWsOclzPJjmehw100VQM8gfKmZ7WOOlBBxqO+asZmw2cXGJHrMoT22XWsM6wmmT5iimddEK9k0bG
QRUL5WVus5es0/QhMNh2i2CQCSkezYCxMG79Pd8H4r8XKjYZ2HaNTDQ2WkecjGwc7UPmUcd3rUXN
4PUFqrWcP3resIXZTaLClBX3QpuIJVcbRBLYAwJ5ED0HuTmJv2XkeD6KWQxMrgjHqqYr0nMtW6SD
8O9fq0XNbwEnlA2Bq62KHK2OvupSOPTmtObo6qm8SZaay04ibsTGTMbhBTFS+ruoCSn14d1MO89M
iNIFLyCJypbTDjoVmZqVnXa3c23qO4yltfapNq35KmmTNMT1cuXsphbWplC+7aAc7R92qyvX6NP6
zC9jtTpTktZf+0HDDyXl5lEQtxRAphHFPctELMiJ6CxOmkKx9YNhmdbOHqb2lKd5cWJEa+FYm2R2
1H1zNvRaexzN1eaeMsGiu4GII1U9xkaBs9GkNstvFhrtKvNG4Hm0WONhpn4HMVmq6gUqLZosvpt5
kycGwrZSOpiSILH9AaOBuE6JA9q4OAi5KtGOkOIkZ5EIfPKr25TKvp5QY/rK1CJHNOCTp4g7ItBI
x1xV2FpXY67EevCsKLkHypTHX7CkMUkTx9EOnVljV1epLtzQKwiy8tEmkj+RutNXhLXlvd3APraU
eDoWylycRhnhSGVojnZTIy7YE1KX38uoczZq41pB5RT1bdem3t7O8XX2XQ7v+PHLvgzRJY7f+p4U
3c7RW3sP2QKON4PA6rdJoubOBk2GtyMJEfsW5J2r+1lTRYQCTu4OnakS2jLSfrOhUH83enZMUnTY
hK+iQpy8PvJrzyDTa4SRjDve9OhZc3ZOMM4F9bKmyN6kaSmkX1rKEg604B/6YrR3y9BOCKntAf/r
Jp1Xjx/YL0ltkuoY9S1Zh72GD9+osPE4cx2Raxb1Q44CsegDU6qzE4wz0gq/btHT+4QxT2dFdxOO
yY08mf3QEUAtZyIE5nRnjaxrljbjYgDawD9qvRLxy5zp+Q5OdT77GryYrSFmLxx5EG7g2PpwqjRP
tsHQSetX3GKuyk5ffeutNuhSN7uPWs0YrsXSW+FaPD/hpus8lMTO9pStkNR/LK4nXmapmMNWWSCc
3/E4mD745MyOr021CLreLfh5KZVbbYGWBaxNb5A6YHLVHQCzM++Jo1PnExnz1vc6NQkfk/RFQ2lw
sNimqSLJnZaFvlFxnPZCT2ucDEPrKN82ycB21DXDjyGy+41n2neEjhF/1gpOUj545nDqB6aOoxCk
MjCn7trKcn9hxVTf4gc+EmCoJ8sXr4rML1GLJxhNMM6SXmZVR5fZpdGubHsSAZucI3TS64ZEnQTZ
f0yX9CHylmwrDQKdPa2K0q0AuCLLomAQbOTc9uiWnaRB6ZFqzskaHLi9riHjs41Uy/QFaNbKnQrp
jFaIYR6ihdS1Z+WEyW9W7lRNqIe2BigjrpaDWntClZ9uvFL52c19tPiS8/ivCMaqtlEi4gQrbUxI
EpHLcZROTZIF0u5kP1ay/e6YpblTndpEVlKn837ukGvgEmzMzGx1kGddEdrtVPDivFztN7lXjiGm
mBivlniP35h16mH03GDGF6hVu1jXIm0fa9F/d1w5XC+uPt+bg5eeltlcWGURuskra5ecc4bffo66
okO7QD2+I5Kz/7KkleNcqV0Ju9ysm/qanvxMeVhzaMKVMzmgBsD9S1qN/czZcLwa3Wrc6Pk4Dfu4
L7qfgqKy8y3PLVeaCcQkbVRJ36I7FS6RZna0T/LhuaMOfi1qm/cgbY6Om7wzkiJM3BoiPNKARbuu
3Lry9lJi6uMnYkLGTNnZXKMNYfWlZCPhMlvm6skrtUQLU1r9t1MyQEyVvcHC0ZgdyunMawbnxjCK
eusOndMGdcvZAtTaGl/1fkzJc2qd/qAnRevtImr973mf2btEoOhXDNMVEMZ0jZQPVL1bDg8z6ujG
u2VanslotX00Gx7B6ZO1BtL3prX12nTVfFInE69MPXQt8k4nogn9VJhhF/xFpIMZyLZFw4aLfPQi
OfJ4gd5DXfJrXtmzTRPWASnKWuPeqNG6RmixDnbJ59+qo1JGmJK6lE3GoBMcmCbRSEJ2YdIYNEZb
Xkfx7P6kofmr1stzlGBftDqI6rezlZJztCRjBP3aiYoHozP7XYqk6rdR5LOgTogoPF2lNP3KqQWJ
V/Pslac5yzMywZQkXvwGtRs4hQ3AHAu3VMkL6qdnM3KQrERIlI6aAZPA7/tCMw76KhzeYbbVD4E7
trLcmKUNEatHgJNviriU2TZTkjnfSK0EmuzwDIsep6KVHRHK8TJsEwtusg8WGF27sYehdJuKvN3l
VWGclLTTDcSP8eztEyxXp5sEpuTsx9LC9xwb3PSHRnN8CHKlTE+ZWTVWSNDF7OyNmdTLHbC3/X3E
SGlEXq1D8vPiot+Julryc6wRnSjskqChnpF96p2ez+GIWM0PqG0VJZAWTZbYh5BsZ3fYkSlOSM++
p/XPI0NF3jbj9zJpyYRpkO99H2jTLT87DlrFHYKf/lCxBiKvcnSFoEmh62eNnMc8JHVCe1TWancf
m4bW7r3awJiyqzA8JAL2VkZ2+9BruUXfvFG1X0tqJNup0vDJ8dDE04OfDEGOqp1kp4Lnvp0MadOB
JkSA2iS9NocuWnaFEstzG+v9fkQtxzFKesttF6npHWXdeFMZLcZ+jgYfcm5Vh6+yp+hnNfeE0iiZ
lRsBMG3c+rLKrGmn1uVoHg0Lb4LEbqPnynDVkBRV6Z7cgVMcJ2G68PeI/cgQTBnEzyUUFOSQS6JQ
Gmhx+Sz7OZ83OYzQZLMM5Gz6fUz/1O+VOHtO0ehx1qCbXxGwFYXIldtTjBrZnx185dh3XRCgevrO
xRCBqYrbPCiLIp+KUlgga+xYv8wyy+5QrcP6Za3odgNU4U1h2x3nYLeFOlvTLnzoMPwdg6LODf2U
Wj0BaR0nV1+NeuR1SdS2485ArphuPSfGzDxZhDsQz+QV+6nKCRpHh5ccqjI38SSrhnoHa6j5Wlqz
dR31ijioXjc+qKSXs7sWQ+FHvzwhlHOptHKbeT/TNZPNkloI0EnnYKIALQK7Wj3c7VxTf+FPQN40
2mxc7KoKX4RjjlnRS0ZCkSTTGTEe+AjjGUzZe6IreItu5xHlaV6Hhp1E5CDFreAtIrTtuqnnoCGy
Y5nM3b4lWeXadNq5P84VjZCTGplevEW03sgr0Y2dOPRZVQEZ8KpvzK6BAYWpRIYqKMoH3Ye6rcRH
1FwghGW1dCczInt+yxvHYA80PS9u1QpvCYHNaR32cZZEfMiEoLtpBrXyk1qKvQpmeN+sm26M+63w
bU/kMnCZ3d8A+tAMthW0ZZ+Ram5SqWHTwY6iP7ZYEdwOTkUlmNN35FFxettO9EbzXeYU7AtV43I8
w9Jpzq6I0XC+EDmcHpWxbOdbWXcrm2oyGj2oEu0q9rIxDcuxbnQ/B494zbWmSrdSLsX4IgSYhd94
Y5Lu8Dpis5WpU28IUBiB6ujanMU4LMfEy6b8XAHPcWduFxd3Wme55zTVu+qqyGYUyLjNKk9LK9Rb
NY5hqaolbSO8EEqiFvG75VCn2zqFjmdP16VYnBdDXVvhq5BR36DTJTIbh5otdZS69eaur66mTjNf
qTh5QpalCbkH63qq234BzymMzvHbsnWWnV66bhdmcZzpjw2lmBZgWKjVNBaXNQqsV6YA4ChGG49K
cPZtV2G5LuxBea6jqcFqiC3VR6U9v/LiMDB02iz/lnPbBI6lOhGKrV0Argyr60mpOMbDSMrJ2nQk
SjDXIDoHq5g3W7Gn4YCEOs73SyyE3MWttTySrDIUYTFO01OHEWIo5tg4zbSrz6Do2beqa+QeZ6NS
HhzyQfJ9IivjVZssdLeIFwm9jWZHbsyizR4qbUYlMoq8Jp1rGb2HUqUcuC46ZSzuO8TgcVC6xcLZ
eHC1eQuFAXefQuLDEo5VXKhUI4695iSqxaEbRQdYU7I+BgZ+loekp4Z4FYA485NiV1py30Zljk2M
FxtFMM8mLX3LlePTMGRlSlhyWj21IyKAjYrgO0dLZyB7qlLa5ttl8JTk3EWdAPpK8/arEcflAe14
sjeTmhB3MyuW57Q1zN9TO+UPiSXoK5nRGCm8O9h1Pn0OFaJzk04yoB0j1FM3xlp6k1tKot4nybxK
qRhbztFiyz6UmJ+kVxkoM2fShKfvz67ef4dy1d1o+UrrxCnGPqc66zA89K68c2OnfTA49pMspwyC
xLPOFmcMhqb+NOp6tS3yOv5qUwhBXpwieo2ZmhoccFpiHXNXOETPtSmxqJLNBUvytJuOykIaRaDB
uW9DjF7TOyMujOVQWBEmMs2S4ZqS2iqn8TgvyIWEgeCrWts9dpYtH2ebJGrftIVCsz+tr9ylkUm4
eIpOaJLRk2Eykz1dk4uX6zSTRF+eaOgVZz473EvcFzvzRz738jhUlrzTbAoT3WyWZ9HMyXWNIV1o
ALmH2lIMVzZtE5XXCXJApKlU5ng32xZZbrNRuLIiWyJzpvss60A+HVXq56zq9Z+mKoirTVJj2Obo
ZvWvKTUgvc8ZXoQP9OjsW+bLQVpZfwJzc75poiff2TUt2uqS4B6vaqJ8N0o1xRXeTo2tbmYqHh76
sNNTG+12mc7mU9QWrLAkF2E72zV9su85E4NalquhRG9yyEorTAc2yxh7Gwtw4jdblhZ2i5CYElhZ
8b3tpbwuSiBxRJXE0jGsiDDE536ow0rJnJHozk70943e6HfYmqTbtBymG6Ii9C94/mkne9KsTSP4
Vg3ofRRUaWsRs9sAIRb6KLZzi8YfvV5VYsuhEl+IWWTmXgH9TC90iqotlTMuJOUsuiNWFfG1Ywnn
We2xrJqk3t+Isff2KWaAyL3AoDmvaDENfIAxMkUjgP+fzKVoM4jWu8sQeYOhYs/fxLaxjUtNvTXS
nqhuUXRuWLKcvPQqxb3K0NzIyCLRGFcPvfwdxdR++P7hwX4Vw+9OiBhjPd5TpBd5kIwZ2SZjVD5k
Wjt+M6oU5i+NUcwf4tiTxl2SRqLdQ+GrrrKOuPbJo871rWKqGdGqUt7P8BuAM7Mm+6Xq0fJVby2Q
ERWkTe5pV85PzaJ26nUCAsizMEsRHUajN6PN6KXGL8RL3S5STVxBjC6TuAYqeXGP/IyuA0QW7X6k
h0klRdfNb3N9qLaJAuzplV1BJCG6uqdyiWprYw+902zaLIXkNpRlj92VsVS4zsZKEpa9I5QtFQUe
TQUY4b4q4qV4nOG2+4NSjiedus7D1IxVbluzpR2h/PXarljK6g4TUOt6jjTDpfOqkYXEq42oW9YX
t41aiupb+pxu/G1YGp2JIq0V3AJFCONyiK/7tMWYC917NzzbNWWWF8/YXEQN0v9Dr+MqwnpKI40p
3nCIVBbkoiyTpD+1tu4nQLpL0Q0be0YdmBf5XTQ5eXqVx11+n/QVsDyv4mhZzvIE2h63N6mqRRn9
QyPeg3/Gj0JJmVdjn93Emk2TGqJeDKOEOj3bOpXCEZZDPfNi4YH1gUL1jAxwdZrBtlz+kEM+loFd
d8M3K7NYtKImKe/auvOmMAffIkAWu6SNCypR3fdc9R5+eHmMWMZuOMLYt303ybOWzviCEEAAYoH0
eOtFCucVtyNNaukF8XZrWbjFetx08MKwyj1WBB2ZWI6q3gOc0fht+F5EUFtmdJjZbIarzrb727EZ
4DeSjWXEW4kNSe5PdBbw2YlsDA00s6/vDJwlrqdKSYwj3Lp6Ohh2SovLlWp9p3RVDriDLsQH6U85
azTyNpamxdwYq11GfXPUomT5HuHq/iA7iJR+v1jjSXr90m5EGUdeQLpHo28FoQEu0SHFcKBzrT/b
VN4vip6SIhhZBrCD2Wjfe8IvCGKlH1nfTWLKN6aVDy4l2mxejXkqvZdiUuWpspaJPFVei7GVZolQ
S3YKmninz0C91CK/zQYe0JYyQXPpLVW4HtV03aszKEQyP8AkKOQXyh7ZQjVrkr0lk/x3q2JlvcPb
cEjuOMq7w66nngkNHGdLLLSw0fQlZlLlZoVxLb+xXTjzAzSce5aBHOaSWrN/zKLcyaXTnxytn0AL
yf/iiatfofYJVkGL/U8POclQ8LNzjxxiF4t2BJhpwbJcDlkEPtSC6eL14W6MqVNsWusUAHjJWKcs
1c0TPiNNFpQQ454M/LaeTUN1wtzRE2KH+Sh7aU6iBYCo3YzTokZnik88JcfZbacXb8lTe5t6tlTR
G4P4+gObYfziudL9Gc+Lnh+qsaaNBDtRVhsK+CkPyITXrmdPUtpgXDd/6Soze00RhHxv3KElQCGv
3G8JzKYuMBpRStD82P2ZAF94LPHgL7RQyXIMFOjULF2KBCZKsvI26+a43mjwMnDscmax7PPM9c60
MKGB6LGbPgylVMVNjuUMXklzZlGwmKMYbkszWa4SDD5+qOyrv4y6SWaypXTWndrT13FOQuUXXWjm
w9woeCbX2PhE+7U8c0ALaS1t6WfbM8KISstOcNEq/FVKVyOLRPe6L5LT5DGbknz1gh0iBxsWiSNU
NgAmh2Opryt1PNA9KLvYI1bcbOI80NEQ55tlieh9Y0HTPhv9ZL4mFQV+YBRJxGbC1tpdYSlV2wew
8+ncoXavd/+rm5aqr+TAEp7mqN+UwRx+Y8pmYP9EB/oewa+709DnnuYpHr/rWdfQg1XVrx+zQ9+z
elHAQ0z1NJyP4RBfUENRYg5t0mOdp7f3c6pfl0xczOIOH1/lH0RbsEjVBQjFicA0L7jcqsjIDewy
0HgdbzrlHlG/79U3YLnC/ESy9A+uq0ekiwe93rKwH7i4IfhZArMaOroLQRGqGj3mdXT++G7+8cxW
pTZdHoP7IfkEuu1fTF7LEMrU56tRkzgL57FaNjTxP77EexY0ImlUxfDLLDQUfwQRf10iT2q4MElj
AkqPYaPgbJjvVGiyC/abH1/JfccNdlXL1NjNCU7T0NK9vZmqcQwvSmu4JCLyM9p6Y6pyRNjb04/S
vUq9T+nI67t+S7rmkeFiAUcEFjla5rcXrJH3S3i2WC8WCz6jhIJrVxXqRe86S6/jeDMA99qfkK/f
v7GV9gyHTUemiYbu4ib1GFDTgxtH9OC9/kelRWx8v/n4Sf6hi7+9M0+lA27zukixBJN7e2eTo9QQ
SaihRTgGxGnvhnAKMTH3MXna4JAWRqEX0HcMmnAIus0UjATf89B9WiUB4eV+tHFCK/ws2fb9jOBj
IfDXYH87OIBc3Lxwiz6VNh9L826n/rlzP/FoNtAaXbxRLsCTxUbjT9TQxRtVipguteuhNN6s9z2E
Q6gHekAvyMdv8P/etxOkAQhpAD8m/J+7hmsZxGEU0EsNPtNtvtePrGR7xDaOrWIg/Ueb9Pcs1UZR
RG6pTb47H/Cx0JC4eX7WBvZDu9Vuor2CgN7veQNPif/w87OH/se94s1guLj8Ou/+msGDmpHrlXF5
nDnJO9TPrhNUh2+3ddD5MR3Vyk8P0Vbsf0Bl8fGc929m/zeJ6EH2iUDkT7TQ20+C4QwaGmONorJZ
6d9+kpa2uzNJG6tY1MCNhky2fslQGMo5SX3dhCZOIJIxfNfb55Z+Ci3pQ5o5n+SCvVtmEKcg4mGP
QUKrkSDy9kNoNXFgibfQ8zQIPUpE2Kvd/ZzZbTAq2p1O6DMI1CdRjX8kFRd3zpxXNRu3J4wgLgXT
9mo33OJ553uZdyObFzFSRLbmeEagfJorfdOP9g04Lq1tS0KPNbu7yTUCPNtPVbPsMae9xiTq/uNl
4l/vg09lYLih8jCQnbx9FLKdATsRfvlR91oL86hSuluZSUxHfe3afRBP7hp88OTpxa1CrEBVGq+6
qX2iffnnC/FU+jwY9ZBxdPFCHB2QN56gWjclTF1LCTGC9scmDmmQ7XM6d5DGfnx85++qgHUM/HXJ
iymhSyS0TcUlJQPfolGmJpiCEggqx32dfLLkv1v1Li52uRhbMcT4kYsNkKqo88C/8RH4ZPN8t69w
EWaWY+lEdOq8zLevEh4tbnCV4fhYx23AmnYih5vNEeLjB/euGnBQUDqIKFm/cYy4TN2JHaXrlM6I
OOy5d3Ol/saLhJZa2T4ti1M/f3yx9/fkrRb4LgWBbWJIfnFPojQapbOcyFdSdadRY8fG8Mwo/qRO
ez/+uIyH0wsJTATcXMYo112MhfPiYSWvPXfZtoRiUUEsgdTefyFH7pNF8P3Qo/7U0F6tSi9EXxc3
NSpD0nlNTBeWq2Iq1R+GiFyXCXM+b9kM1fLJ9f7xxqipsLBn6eHXy9mVpvhk5xrOE2b9OtjaTTF1
97h7+WYVfxIk8+5KKMsYE9yUx0PE8+btEFRWcJOQR4c4NefMV9aElUuA28xwsS9WPxmJ66x5s6Ky
yWPmstalSH5RNr69mkpaJvEz67m4D1rzQbN+j8iHKhXQ2NmUw5dqGDf/cTiuVzQdhgheEqZ1OcV6
jBLzGMsXv87MwErlprd+RXP+XycyAmNKbcY7UxmJ48V90Z2cda+y4SZMN5P4asmIVs4nW+A/3hTX
cHlXJNtQ3l+s++CfwjVj/DZT5eTS+zHllVO8zP0n8/fC2ZHhQJVrUvQAwJGmZlsXh62hM2ZXK3SO
J1gPnAwCsMLGaaZDMRnZce6t35ExdlC/aVESD7AnkAJID9Bvo2fR9MnofDfvXE5gNi32NQuL+nNd
pf+qgsa2KTzcSi0/080Rvgk0Dbc0jUfDHIoDPRP6V2ZffVKQMr/eD1NEeX/MUthkvctH3UDwwzMD
lWMYhscwvA6P1/xuu/7Ybv3t4eD7/HK93W75nX/wd51/2O38+x0//Z//bBQVr/69v+OvD/x6z9fx
tZv17/kpWH8E/BeuPwWBHwbnc7jnx3HPtcL1J/4P+LF+yfql6x/Cn8fn8/Px51GEgj8dj/z4eVz/
CZ/z+MlsfT/iDFKNOKCS5csx/1LLbvZ0Q0EKIa10mOzJH7q6bKP8FNmPH8/R92/ZMNdIKGu17sBo
8GJ1jWerWWQHEbZm1A1iQF5nHclx9kUaCO/3xxf7100xSU0V+1KT615Mo9IYxlTzaKblhbhD+3xA
MgxvdjwNurL/+FLvh5FB1LmtrxncNjr09b7/Gr15bGTDEleOXxZ5WEfPbdOE9LwICWg3VfcDUP3j
663P6e3qugZ9oNO1sIFjq1pv/a/rJVpuCCNLHB83bHlUI+znQN3rq0kph0+W1fcLOZfy8ArxKMot
qrK3l0qx/DCtljQJfBDzA4GCqU8gWUlKnF3jgq2m9lXszMMRZsmzA7Hkk/V2nfeXd8pIWZdDRzff
jZhpmHNIPr3DucMDZUTq2XzmlvSuz0CJ/fclLh6m0Nze0eTAy0u1al8Pyhxac90fJKTJoJnhLhha
9TNXhiYYq+LW6NXmvxYB6yfA6m3td1AFXBoclkUUEavBJ9CAWciq0E61XVPmzF8Kp/nvUx2BqYXZ
Jj02jlcXhzxY9jOtcMrdoktCTblSveuypNz4zO3uH7PvzXX0t+NGkuFA6BjXATUOR+06ghWStm7Q
FJ/slv8aIfjcYc/KiWHtHb69UIOlVtxrMBlWq6FGxD/IPfrkmf1juiFWZb/XOBZjsXSxbOHKDE+0
4HgoIXP6rYFJtD4RAGE1n4x2bX36F8P9zZUuxuKELNxNap5ab6JaS+8WBl7yq1NMWMBloEj6fP33
Fu42FokfLykXSadrNbAasJL/7NDc5TcXN5n1aNihpXHw1h7T+Bb43FT3TXs36jsVcNpMT/VwpU47
gc5T3ifyBFmm97ZW7i+fpRn96SW+fwz/77NcPAZMptMoXQcPn2Wud3F3U6vfIiw+DOuEiNe2dun0
UETHKBsgGWywZZrnT2qDfwwrSiNbh6VJy8q43BK1wTZqW/I4hFQ1EBPBhgUH6eOH/o9JQrI4Owbm
OLRdLpsdPSRr/ATAQNCP/dZrawv//RfC001DwsB/vtRqsWOwzOgU/5cpqE08NqbIDZsQI/kypPNZ
tNYRvuSPKBf9J9d6P18okbHioYFv0bq9xAqUUW8aLHEYxYayaxr3h5HrKPW9r//1lrgMJ8LVLtvR
oGW+nfnzANFuJgSUkLHhlEwlDA4Y/fW84Rj+SYfozw7+dkSuSwtmPCo0D+d/nDP+2nE9U2kbMSQ0
XLLRcc8C1OwQ64YyvuA732RbIwOD3IAuuS8mRmsZgPnCbqWk+TgHdLHTA0Jnm1ALzu/XkRTjr0KF
iH5CuoOeBHP5tgzr0qLa7xYAuS1odPF7jpAGhvaSWs86QuM7VRbeFUNm6ijIx+FRJBIZ2GTYFT07
URU7k2hiiF1JKp+IG44f27TLvgIGdoesmvpfkZN1BzQ/xCN8/CbeTxYKd8ODVYHz3VrBv30TuiWH
lkQCz6/qr4Z5zOz/j+/PwZVOGK+OOuSilBMeKtO4Rr42L/VrB7thGZ3nj2/h/VTEwe6vS6y3+NcL
VjJC12OIoL6KugpUmgQhJ3D6sEMz8fGV/jWWiChkOHFOxULOu9ixBiupVNI5AK/92v/2P71v4xZq
sz9vqK52wxa3iLAMfo1bVIDGJnpAe74bj6Pf+88iVP3fP90g3jrhfPXZTvePFwkmQZsP71GOAfrF
JrCgo8ictnaZuS1sArx7jM9u/x8P+s0l1r//60F3yzCOCAld9L9KEZYE5QRZrY57QmS8TVur0+PH
j/sfmwkot65RxTI4sT29eNx1BXG7dyvPhzbp24a4EnlOBvaI6wmMJhyi4FU9YrJxb2ZT4CZok+rq
WCPNX7N1ND07f/x53p+BbABHjARIVKDFZF0UYB5O8kXqKJGvVea9acaolCV+BO0+W5Iv7qJ9clR4
fzT5g9lhVMapiwL64nFbopiNJoXzWDavqQdq4P4k3jpYmpvsf5N2HkuOK8mafiKYQYstQJlMrUps
YFVZldBa4+nvh7w2c0iQQ8zpLmvrxVmkMwIhPNx/ge2YvJCMnQ9uqmaZdM5kg2vmyxb86OPytlSA
A9Yck+a4UxT3CViKLTXtnUqSqYzuv06cVVSZ+LZfoqooaJ2uJVFH6UKqkAL3K8n2m7WmdBtjRJIm
XQg0fwXJskgFl9vT4rFFt3gWSLeKODFQbHT0kF5Us4mMQ0rqoem2Bza3yUBbVgsh5/tkHnK2FTVI
+F7uIcZqlf0mqH9XARYmCrrRv6+vx7My0DzQfIWkFhZREmMbNMDTaU+PqTNWulGi7/TFnLZWRv1b
gTzfdek6lCcq4WKzd574zn/E7AWN9iu6ItMEV4lL83+rdjxKzL+j9lHov0FfAqN2IhUXqoXX33x7
/G9cQAA8wKhUzhu+pjL4kQpy2oH9tPMMDonMvZXDF2CBof47bFfXJ3u+P+bhZnPNE0XQBZVwnj9+
S4di3ar6Td5MfaXEo+/6eT3cxTU0pWBUfNkp8yQ2qIPQMrGMdDgAV0OB7/39KG7DYamHenFYNFAV
ib0BSGB2P/sBlFfo/kDNkpdpU7TFtqePahZ3ZrWQiV0MhQg+LVtigUM43fJ5mfhoFRXYBokSidVO
ATWfbQb3V/BvGw/Tt6IPgIgq3Uic52ZLEnPIvm6GMnakel1rwCif2uhB1DsIMLdVvbDb5ynzPNjs
ksIwK/d8g2BpW6XbNpREjlC13ssNVdnri2Ip1HTWHZ3ROI8VKkYOaFB098bwEQuP4hgtxLi08LAt
IS+XJapvc3CNhG6bmIUsiBwsStSgtI1iU465tfUfjeYo0iz1DIMeYTE4aVgg1Ui2kf2692278NK4
dPwfD2e2vsOiRUw5JQhsLbtQnqsCuRgNpthrAr2g6h+KJdfsixNIK0qlxUA7fv4y5LLxmnSoofv4
8Dg3kEqD+FVeavlfOP1MNiylXxomInqDp0uhB9g+5GYXY776KRvrtlzl2r7NSls04OYuJZcXti4g
OU4h1MmBBM97J3LVZ9UIcQI5qtYZAmFD9+NV1fsdAMhD4iFDen2hT5fy8ZuNPUVZg9WnUhoCuzb7
aqNU9o2iMIfo26w7fbIbXIhwYSvRdaKzi1cKRUprNn9pVcVDqWCE5ws/c+8+GRDiiBc6I0sxZieD
GgeoYWHwiRtyiWPoz8gQbiWz31yfqwvr7WQks0OhQ41c8XJWQolsgFI5cbEPlJeprPbfxNHEWTl5
RO5KkkZGI6ro84sPKLw0GEhhbXA9ztfVNv/4CgV5QFYi78a5OQvERrVQYGw7Y2loKtCBIQcXzBsQ
ZSkUbhwlS+EHJbhcI8siqnsfyag9bz7rtjdzfl9M1Q+ngQJNDt8PN8Ro/qZiBAer9Iv00awtN8H+
NxTjQ9CPHiWcIXLRPGGvGTta/bHomFmlwEDK0bYUxv6bi87Sj9CrvFsLZZyfsPgM9ymCnP4DTS80
bnwBWz6ACN4WDrv+xw2i8dGI8atbCWabbvM8xxRUB+MZOiPdVXc7SSy0twCMhWKjVJHko6Lo+d9K
re2+4d+pKNjpZf6PnC4fbpeei5yBiSsibt1wc7qwxELr+qRfOk7AqfBw1MHuUC49PU7GnMsgQbPP
ceEE1tq2JInL1V1fgN5cJ+bz9WiXNsZxNPk0mhc2ASoJRDMKXsa5bwu1b4MuW1hJl3bGcZjZKVJF
I4sGlwlHUv5IwADQOWs+oCteH8xZ5Xc6rHQ8SScwBSWBefkV0omPs5dOAlx85MpKTraK+hD5oaPk
ByHcGtmDVTzq+tN/GXYa/VEygL4W/CpDQx1G+dO2FCSS5xhHIfg4mtbaovpQCWtE8oSlDtbZq5zx
AiXGmAH847Rcpq97FBjWRi1YyJ7iNBN8qNnPse1hIj957RtmLDe6N6zBONtepO37+n6MtCeaYfvR
z24Gxdhen4QL99LJT5nNQV2asVBL/BS1owWqZBpK1fmKMh6uQFm0l7Nk4WNfSCcYOPeShBkQ/jOz
w9ZFgjFQE7ghyBy8ZDEUEDMHSZ+49xjEfnpNg85l9ZKr5p/rAz2r8QO8VHjksNKovoJMnq1lw9OM
Cl0USCnDGyK8G19K3q0Oz+owfrHQ2PNMEUucFt2lkipi/xjAZK+14KWWX9QmvHOl194Agapo++s/
7PwLkCVOqG/02sB9zytiGgz0tDPEFHfVfFv1v4QkcjrY2wFygVRaF3b0xWgT4IGXygT5mx1TmmmE
gPel1Kn7bIXTvK3RTQkG7I+891RY2tlfNbPZTXT8tc3Zlach3AR0sU2AU457V5wQpmZiODR16juI
b33n5CkCCeFYGdlN5AsujOk4CByoa/6nOyii4NRQyChGJu2jKCPNEUJGgAAK2Uu2ERWpf/iR1r9P
glKULVW/uEEwSbsZRHRdxJDcB+/zx+sf7NJxRUKMpA/9Z40i1mz7ht5Y1X7bI9EltK0DWftONCuN
o1j9gZI9wg1l9Grm3qOG3m4RKTac0M/rP+HsXAbHRDdO5B8XDlns6QHijrgzGb6BVViQ2i5SgF2D
3tGqUBfWpsrfOfl8X3EQ/0E2F0nuOUKLSm7lyxTs7DJ/RQbXKfOf1wdydo/NAswSPLw+hzHJpgD9
C+tCkp7gal4PsTSG2YFTawP9iZoQpu9tNHSRRtqL/1WIOU4gk0IOtGmaKp9mhPcuWgvf4fI04Rcp
U57m0pid0m4v6y0VXMYQoszZwb1/lvV/n1JYoBxULGYlCc+t2fmo+sYoINKFkaqQfFNwFLcq412X
4oW5Olu63H0UZCklgrzihTc7gMYu7HWUnBNnQM1Mlzctuk2Nv01QDr3+US4c+EAnv5CFlDCof88i
IQ2By6c5JE4h/0AtVVS/w99FSiIZkQt9U5uNixaBv1OgLOLvZYvKQxzsET4UFUfmv13/NWdfkKRb
o8k5UQxIEucIRDEOR4EziSIqvewMUvKQwihdONwvHLd8OZIBcIB4Mp4hyQSkc2BfjrGz2tw9vE7/
nsFqOTfOy2DvfHu3W3ifnX9MSWFYFh0dMBy0p07PocZvDaUvyKC8MbWlYNVrP2X5va8XTomzLczV
fRxmtvx55ChFlREm6Ru7U+8H3D+vf54L1yIReJ3DAVEmvM3pQLQY7f1EIwLu3+tBfEvHFf1heLxr
N13Yy5cGMyF6JcBZ4FC+vO+Okj9dH12WAnlIZIX1Yw03/Lar6RBcH9CFSwq7VoWWKlkmNfv5JWWm
roIcGxxQL8W4vlBqlKGN8QGkse1m/hq/Yjscfvco3cfVh1toLwvx58iiKd06jj/7ZqEnaK1elwmi
mtamLXBpHoTBViT/fnQ/yyrYDILq0cukyrNU+b30MQF3kl6S43A/z078LINzPaZoQekpMtLtnZys
pscEuM0xGhfm+dIOOIolzxKcoFNQFZzkOpWxdhpotVl/UIKDufSmvzgmoBiaTCcYksjsdI58nY6I
Tp6eUOqTJnezeNMM93H9MxW2C59uOhhPbv3p0x3Fmlbw0QrtsSZo0OXEra2KecP+FSXesDvdBZZl
/B5piwTqJlM27VK38sIYKVhY5gR2lyfcyWlc2HBBZahZ6nTJp5diwZuSVKm2GN4YVri+PsiLsSjG
sTwodPPvNJbQoUwfNnnqWDIULHWL4L8IoN6vGhtdk+uxLqwR2G4G2eJkaH3OLauHQvaGgljVVpfu
RrACVU/ru3m9Hke6cLScBJrtuVwZSj3uCdQk6CDdjTn4iD+yue4prRuN3aYHOnWi/J5le7PCSO3p
evxpX83WjcrTDjQEmSnooWnOj9YNvomxx+MthbnerSg0oceoo2XLzWC8pFXuyMqfSFtYrBfn9ijm
LIFEAd+VE5WYoxojf7eREndnKDcabdj/bnCzQyUvai3M+zIFFYB8t24xqMFGTVLSEKRVMXUTN4H5
43rM85oSdMR/BjdnBJNLDGiIM7jUoDJ9U1coOf4cK5WimNOH5f7fRzt+iM4+39Ajq0jzhUJZFqwV
RJij8lagHh4V/WYyoegXsVIQPs+WDF0SwNC8oybKztwXeIxqf5QayWcbYreBUU5WGuamG+KqRY1Q
sITtgIzRoRS8KltFpS+9S0kRbDDFVveAiIzgHhkXExHUTEIKKM1uhED39kM8GBu0s4NX0+vyNZJC
cfkyjmO/RZIvf0QNTT/og6x+T7ui3GZWrmKEWueu6yBUIP6Emh/81KXQmPwsBf0bZfTUXZlqKovo
7/ZFuyriCA3TIkDLbat3gvrSRWFjPURWmoXcNWM83kAIytu95SW6tEmg739HyxA9j4wiJPSMGG2p
je4m1l/MA/RuV3sajH8XawplbQ2i1G9L5AwMZ0AnR3ZKFFbSddriY7vxiqTX9gK6YuYzss1VAFRS
6vu9CnsL8mhbJdGNiG4nE9d4iLYnSr8NfdWqH4BxevVejwtvV1v4EGxLq09++NkYo4dBhd8eOlNo
d0iEA5GQzcFd5SZKFOiLD+1dopkuOqijh/QLjt+9sU0UpFhcGWFlJ+084zbMCiNzqDkYXOluS2qv
cZFEjoUn0p96FDV627k+aNu8xdv9EcVFqd4PoVh3KzU10H0M0NN9QadNf5DlvA/WPXr3dzK65j2W
BHGPC0BhYWyLW0/6o1UQRL8prbzTnGGcTLKrAdmrOtHNp9jqhnJT+yE/WKuqeq2OAFw3YSxS7akj
P38wRjVtXseszxqkvfK0WFvYeVT7Oq/F36LUDFvR9VNUw9BBoZAMLKg7lGFp4t7iGZETul63FUcE
9oF5iMobzZagcDC+qJ/aLkdvtcn04NWqjVKyDZyePrpc6/60vl58z4ZORFUuDnYFmqmHRojwNWi8
Fj3LzmqR5vVFfdxbcS68RlaVPFt9WzSrDpDCSkn84qAiFOfZQWzIL0hRlhu3kEFM1gOKhXbVedE7
5jTFY5kpsW67VlftTKDrol1hvREiRN+6v7Qk6D+yQgCOTHt83ILfEF1bMcqkXYW9pRfrJjQKn262
5DqmMKS/kjGMdhjZKe+F1FjaKkYQ6C8120p1EO/XW6TqklF0ys745aFNiVaW5GZPQanhyWFqcrHG
fNZ4KCwsE2yaCKiLt4FFDacRPcNbp0ncUWtU3PCXKUhys0X3EI3V1uQEjzDv7jadhqaxXUpBiihT
DRCWBwfcnFH0aNjpPAvuhB7vok3KZv2tD1KEhjM48nzhcXV2GFOqQMkANur0auUVd3q7uZ3ctU2D
FnM2OEKFo25q+9h8heKdGT5Rsrx+GJ9d5VM0ndyVQiktw3m+5wdaWsUu0QTrV5V4TqcuvKm+MtOT
23oWYZblgbpH7j6kLY3o80ewi/ebcfcXnbqb/D1wfrd25Oi2CPe83vgLQKmzQ/+r6PNP9Uo+nck2
q4ygiCmXoGGGRitKzvdV9h5iuhL1PQZAu7xbqtAshZx9vDjpKAvKFFC84WcM2EVMocqhkokA8q8W
nW7LXbhMz977szHOZlduxrpNaVdi5nSPeQSK6LyPF3KfM5K0PAXBcZmqIqT1s8Sy031d0FuC6G/y
9nu7it7jPd4W0haxmm21K3bX1+QXtWa+ZI7jzfLLItUaUc6J126kF+l7+112niMHGUP58RYtrFtj
JW6N1ULQaTVcCzpLS/C0iXxTn2pf+A17aFMj2T9ah7ZxQtWwdePBx/C3aAI7qlZisTDFl7Yhsqe8
ESxsSE19FlzysBkxSkZsuHdF8mBW/7aA8vUF//n7s/TVa1FDbBL+vjDojqq06wEQ7ngXawuzuDSO
aX8cpeaFrngalB4OL3S7Emnniksgnv/H4vi/QzFmL+FSbYCHw8JGj9bBbPxn8DTetruPCoDAZ3pA
4W+TbPK3YmECF8POHnKBayHG1hHWkp3h+Sn5FB1SFtLxQ/fj27BK9m/WKtEWHgNnuhlfO4/NJ8HT
4EqYPx8bnPpEGt+CPVp2caN9yNtha94Vn/Xq9TGM7QFPspWImIYdvomHJVf3LyTp2ZY4ij47QAur
AsbksiUGDbGbdfZe23WJ09Ba2Mrf/IUtIE1r/Dwa9DPqfIDO5jDBDGoYOSJjxcbrs3iXHXp3B30v
bfvn7Ht/g2C3Uxwwl1lasxeHic8pOGGdf2fUIzMc+7HrGWYfAVbWVqh3eeF9qTjYqWCHHbr3xRJE
4+Jgkd/gUIWcQvlsVoOoIrdtcoHBJsm6WSM929jFNj1oz+g+3A4bc2M9dTsy6vUSHOnsIctJcBx4
drbqVYEpAIm7HVn3NeJC0isib6Q6C2f4pYPgOMzsQONbknzKhBHlH0Y3Nbv/Xj+vL+YVxxFmR5pg
uK7sqkSgDF3Y8k2+UR9r2/ZuKw/fANN+q3bp9knZa49L++LCFEJSAdwCE4MqkjEbm9znvjaWg2AX
1ZtEY7lYDeq+t96vD/DCzU4ULoMJzaWTop0epUqIGHBcjpxzGCfRdPRLxNtLfyHbvPCdJgUBkYYP
/KgzVRbRLQ0FXjKbznqzjCfRX4CSfvGQTnY15WeNPjAEL9gYqjXLiFqpwFgug3J56BEWQvPxAe+H
bbhyN4Vdb4JDtK4PyRPGqEgw1c74/ohn1r1OVpja6Dg+cNYc3LV6fz9uUwfrFNtbvcULc3A207Of
OM3R0aXlm1gAwjr1HVW4j7pDpK8V999uB0LwDWm7W8izojlwGqL1JLxEcGHlJYNZxbOqLPz9s7Nz
+vuU4KG5femSzGZZaEUvQDnbd2rlUypRfr7B8SLtUMFdCHS29meBZnPlWS77wst9R85GBGtvAuOn
Gq/Rpr+++OVp986XzVcuhLIFWmHzPRaP1ISVDGOdeqW/9zYmNbfRWrn/iSMEt663rW+Dm9ZJ9tCj
77Wn+NnaJysygK3wmq2XkBNne2Ti7dOwoGWjsoi/zvKj9aEkqZiUaedDVPmsA6QIl0CUFyb1JMA0
GUcBkjqU9CEggGY8jLjgoEENiHwJZHVhjdByZe1p9IQohs3WINrskqvVU5TiLnYr1FeQv80cEwuo
pSv1wo46DqXPcjT03TJF6gnVj49qtm2qm9ZcSMgujYaXKxwqBUWSMxGZOPPVrsG1xJHUDzSFzPTg
VjhXg6uJFpb8pc9/HGn6ekdfJ0VsEggkkTINEE8K+kNdSvPO3h6ssOMQsxvFQqBfRH2K+doYMhRu
W15TFVtX6F3LtsC5Of65vr/On3SziLMl51l9JcU9EUthE7wLlq06hZMevNuCVEv90P4/NOCW5nG2
/mph5IpQCdncpMJdTr/c+Ws5vSN+R2cbNSjcB4XVsL0+0AsrkTYB6x3gNUi4eee47ro2UisNxj/V
lOgN8mpYPl4P8dVJnZ1VxDBlBJSQT+DUOl0giqCPbdrrvkPB9h6iqW3eGA/Jc29T192En0jwI7xX
2+iY3X8q686+B5lrm/eJ/Qu/hd/Xf8z5iwEZh+MfM1utZplUWp0ZvjMgXqfZKKGrg12vxlvV8X/X
a3eDoVLhZAj94deQ2e7CfX/hKDsJP1vJEJaRTcZozYmVv6ZqUzpD/eg5Q637+jjPIQizcc4WcBhl
clGNBBrW+APY1X25kdfxK3ogz/VO2o3bt9ZRN7GtrPGHuLe2kHp3dMYWGOwXh4s414SzJJM3Zveu
aXZWZiA3jy71KsQRidTTfBirhcFe2DlABaAoaBCwkTabRWkCBd35sQkcrQYL9hokb9cn8/w18qX9
8U+A6QccHXGlBwIrqAlQf+DIhwpIvA8O3trc+7/He/FB2+LY4K/X1n6JOfkFD5jvneOhne2doJCL
lsjVOovt9rv62WzHB3QfJEe7E34Wt1XAvb6UwS9N6GyTtHKT+olE1DzaVMljnX9en9DzZQFmD6wl
0wrM4yzdC/zOUqrSAxgfyvXOcut7Ux2p+2dg/YveX8K6nh9yVIwnoC8L0ALvNHsqtElYWmYBdcZN
H3FHjYqnZqmweeFcIYZClslV90UKO10iWBwIeStSZdF/9g/wFwoo1KTw2I5tDQsp0XG97lYoNDvJ
aonNfDk2byEad6qBdMvs5jD1spcCkwpuhLWK3b+kG8vxnW5dOX7t4Ju7sv6OujPeeZt+tKvDknzo
hUXK2P+JPy85iWGQK2pP/MZxn4y9XnJbmqvRybbdej86HSIvzsv1FXRhS57GnH3ToKdg56tTVSuz
wz1Vxxvju5DZvyOn+MCXl9R+jb75t/xuqUBwzlWdYB8caIgNqAb6R7MjPEeTNzcH9LSz4JvhOmKw
L9pd7201k3tMeGybaFVgg6CLVEIXbuvzRz1dCG5rtGbIeLiwZ8eBOLQ0gEY/dsJbZRXuk3W3ttZc
YBTUbWUbfnqvxl1rOtiBrfqPxmnqhZP2wl1++gNmJwPC7IniGvwAqNQbYTfCQbs1P+vb73/MzXDT
r7xDf4DHtYbtgvvVIXpVgQM74s19PWJcaYPNWfhFF4+SoxmZfQ3efP2IVQU1jmGtI3dllJuAjN0T
Fl5c0985PYiBrRuTRCJik5P+xun+Rv+5cZsGjfSgf5D8CorEpssfG7na5N2v62t72q5nodD104GB
wmSZI+SjAoFVXyWUmeHbFCHU8NTF1WEcohJpqCpw5KH7rVRDf4joIV6PfX7yc4aIyBSgaoLa6lzB
EKPyXihNplPDchLnvHUlLYxuSjzmo0PHhCBIniNKPrusvbDQ41THeCLTmrUhkIIZ9SHKg2+1gUQ+
6C2Dju9/MCjad5Oo74Srne0afDECP6+phwfFY2jmdr3E3ri4L6cG4f+JMNsWcTzmUdMSwVc4d2GA
Mnv1qvs12ibqHevSHjah/R69UpP2nD8iGI6FIV5aM4C2SIKmGwDNm9PlqZq9EEGhoYmH7cpqSqfV
B++xsxer0BcXyFGg2UgLLJ9iOSCQ9hLfAjFAvRNw2iHYJ843+QN7dsteUli4eL8cD2629yJ82zTM
u6ZDJ38Vb0RH/dEwn3/Nh8CBrmYnv/+11gIfk1KGCDPIIrebr5jWkJPwS49AKzRcrtapv+qtRwhB
Ygh0BPHzJdra+YPTBO3N1+P2ptCuzasPdICbGJ/JzEmHTa8+dFOaSc17bLGNsMXmztKcxvw0S+zD
NWMlLcp+neVIU3zqkJO2KJrXXwihoxQXayWEhKZ6RyLfdLChiiff+3N9G57fnCcxlDnxcjA0F4ss
YlSW+iTLjZ00qtOLH9g23mI7vFOC9GftDT/CBtBhI+0xJ104xc8On9kvmGUNdFZqPcYL08kmUYve
tavqPvfrg173q8n1CJub9cKgp/Ps5LwjJLkn7GaE9WTeJ6c7E4Fl3OclNUO53Bv1raB15fdm9Cgw
4QxSP/tamz8VoqAlG1mbVBhcDfugWzx+op2RZ62yaWJVxKHb7JZo62dXJ78MWRqaqtOTFMD66S8z
Y1PFesxMYX2JB0n8EAtMpXrIQaEmLM2CfGEWqKwhX6KQo8KEPo0lCwrlGyNieZn3bvfWa6ONxTD2
LU6SPQjZm94cGu0mad98feHFfemTH0eePYTbyZnRL+PMEYc7o7iT0r0sCY6m3Bv+mzTuFr72tIDm
XxvzBrDe9F5gks0WGBe3l2Dvljm5pd6qmfw8tK9Wm689DwJ9SH9Q6e5EMbo1BfOmktwf18NfGqtG
02USi5jE86evcLSJg6bWmgK8loMwzvug+bYMPhiLdTyvxe9lIB9qT11dD3kOcGcVIX0DVBigNzq2
s/Ut9IPiux4jxqPttZfFG2GQVr1UR06ke7c6HjRDZN2IueJo7p+EAtNC/LMLifg6cw127H8BAqdj
VlxfMtpap/tR3U53e7XHztcpcIgMu51prU1qG+4GmfMkdHptE2VLn3wq1s4/+YRFmpoLyFnO+S2l
FbhVI2rApcO9hFIXZEV4cZ9+QAFJwAwOSOAdBLvrw770paeWtzUZRkyX/umox6D0Cn86yGihhrcR
AH+7Bzp5ZyXWC5WQeyN0f7WRVS9I1Vw6MqiPEw92MDX/2fKWlDKlbVmDQC8UGzFkVOOGh6DvbFHy
FkpH0whm0ypzNgHX/tLF+UoKjtaym0ObMDKcElvtw6qaLYnyqs4q1Duw2CyzhfzpvMnNpTeBpWlA
EfRMzraJye4xL6feX5YvPSVsU4YgJEZrySy2XfXYWnhRNO7Gw6H8+qe8MKcnkWefUsiw1MY4m1vR
fezAStZpSfrobRRjMcm4cAoTCvAcahSAJuaEZ2EYARcknA/1qNyoCP1xw9z6grdSsOmNsNZOcn+T
mc/UDQ9jp28rzGn/g8EizMUTAxlI5I5O1206Us/CcSpzRuFnrd1VQmXn9XOFr931OBf2B0kq2AEZ
/B58ryndOVo9jZm4FXuSdEpqbkoTKjnsVb2QPoS0xk0FgXG3314PeV6SmJaQyYU6iY/h5DEbm5ob
Rgq2OHOiYK9lu0C7kbxtGe9U4AvmbnKdNb5pwi3eXnL4JqSUnbsdHa1mSePk4tghMJscyBMqbVYO
ahSr9wGMZk6Igl+0RcHcwC+tdJ3IP1ixtrk+7IvL959oZwru/VAEWCcz0xlGQeK3AoPKvlcR8Fr4
pJcOBGTSmd9JSJv0/PSTujHP3qYZM4ckzsEV0Qmt5jmV8oOvRM+9VT5dH9elbJWeJuVkHgIGkLNZ
vErsxQBSAFjqybhdyu282kQUDtX8Lk2cMF+7wbObvgdmQA3o9XrwC5faSexpIx8t36jtJLFMZGKn
njO64e1kDH49xLQD5ucr2qXQVXHQQIJ/Nry2ynPfdM0Msr25NsPG0cSBLDDYXw9zToZhV1AQnQAU
YIfoBJwORWtU8Ocgo52qtLJt4Pm4namJ95SYnrVqtT7eYll8B4CZ4Iq3qgYV93JvIDH0tDeBywbK
RTIsZC0X1hIfFtYf/8fHnW/VOK/UZIDj5GRR1egOybZ7a/rRmK4wsinoUZVKdNAEN1xSKZtGO5t1
VNpJ0dAyh3c4L5XqAVjqDN9up/TWcnnf6cVKpjZrQMuJzV9JtarbpQ9w4dA/CTn70EGTWl07sZEM
E2p6/maVeM31yRru/qOhlHbmT5oligb9Vha3sWU5nSsvdKO/EoPZuNlH/A+kHrWf+YMaX2eDgi2b
qVQCu40luwMeXmh/WqU+qJCd3YgLT/1lYWSca+VWbUpI6OkuSB5LU99FGmbYAYVePTi4pr71gUv3
+aIA4KVdR8UNHC9ebzzFZwd4W2HHO1jsOixFyeZumuh7iOeLsnIr7y1U870afJcq7Af17lVO4k0Y
lshxywvn3KWNyXaknI/W9znOjw2AEttI4hMoQu0EqtTvUOaD8FSVC0+jy5FoL4HpQ53oK7U/OmUk
A8eLZnqa4rG6MyV/V7XxWo+XqmOXbgiERmH4IU81ccBPT4BeVIRQK5McYVME2KpdEP0JsmyjLnJt
L6z0CbcBQpjKPDC+2aWfDoEW1mGRO1kB+G3tw6LfaGJZk7gJ7VtrDsY3qZGkXeIb+W1lVJSu9VI6
qGneOoVkeQs3yKW9jvYcRUGaBOrZBZLVuaSPUZs6uv9Njx9N91Pu90G1HuNHP3lZRPxdmGZqf/+E
m90Z6JXLYjCF813cUXdWth7Ld3WxGHfhuUNONWHVqFKRXcwmORNyqLFuk3OeQyC5dbM/jfAp12tD
/a7J2yLdxkuH9Xl1dSpIHYWcRn60ToOwyVojIuTgSKvym2cLz78jNP1u0Qg++BjSPd74f4XHBm++
ZOHgujCpJ6Gni+Qo9IDjdGWFbe6E6Y8CYRo5tsvhoVOWGisXLqSTOFNOdxTHTVzkdxviCHK8EQoB
VnrvCH21b7LcVrDAvn4rX0oRj2d0tiU7xQ/6oGNG4/r7WPb2mL90wbMoYByS4VC7uR4Nei0/f378
825UJH2iwGNudTq8MaScmiokiTrGJZC9yr4vt1VRQX/lDNJvMGQplLVHNXYzJHX5Lual/Cho1qDc
1EZCTbvLpX6jR8oE8hyMwduo4zA8yQM+BVC+FSV+5DgvtnmXqsYucKP+VyT1mQ5uxlPW/uhxr3gQ
Fw5VYUF0gy2nQlbQWxj4vSaUN7GYCetgOgcw2nUFJ2lE6Y9Vi9VOrrpoWImJJQSr1g9Tw6l617zX
hAKTZXxR8kfFU8XXQpbi75qYIF4kSCYIB6sSPQrVgeQCTc3qcN8kncLDC82ElWT4Jb/BbO5bw1U0
OxYF7xfkNQSfZL18UQqly1dDU3RwwGrxJwL3HJ4qNicZzQTP1zeaX8g3XpchtF7nHY3XpIKdta0S
AWgcB9loq1KsrqJqFHdWIUPjqWOsym0r7zHOC/HJ5qynmYhrtY97d+GhyJxJCH8NjWF9Rl4u7RPF
CraUuYYVdte+jkeHlKHBO7TMW8Yk214FU2hVGA3u31Gtu04jqsnfIh+aOx01TJhZUeg2m8DF2Mcu
y1D7TGj0/5KCejCdyKvKj6aS0pcsyEbX1oqBRokpWJ+xxvQ+G5nh3ZdSL4aON8SZgtoECJ16RKy2
jMI9tyeXdGeZ2zZ15d6hu7NP6ia8GZEH3jdDIe/Fujd/FX2OsY8MmCHblBUrTCh7Jb2Bz6skd6mW
mWtZaAP4AXGTHpSsde/g1QjlbkglqBORLAp3ScPatYdMzr7jCegi84OopOqUw4i/TmdoVvaU96F/
0MtBASOWj8WIfnFRRLYBwUpb9xFyN6HfVfeCNkovatkHtEyKdkxsWclk6THX2jTH3FFqvDuhLpXb
vsOxR+EV97u1hmJLozDVoP/L2HwvbMuLu5JSIBqFnObK14P26NApy5rVk+Tc/6LuuPLWL+7k7kcU
3CuRnYY7Jfssx9Wg3OrmklzDpccVz3KKlPjAWMDaZudq1uJwV0WkWrgv3VZte695fyI5sbUo38qE
G7p2k8ndoUgCvHczu0aA9ProLxyBIFYx2IX5rFKdnx2BKcQRZHyRhW0EyZadrXbbdCq7UnQQc1qI
deF0h4FKNxXrAERS5jVSSYi1SqoFaqSNrev3eaI7QbUb3FdXCRY+6qVhUZ0DsI5LMuJis+s5HzqO
zcLLoYOp1GMLNbuRxL6J7WAsNPSsxaBZjZ4Upege6F1nX5/UC9cl1X1pwqBQJDwrS1J+bstwhJ0f
B8P3IA7WllDe1YKIzoH+X4aa3ZhIxGF9oROq6IudWSCYx7escYP3/rUIMwVWGqv0xE3sGTBnPr28
lB5reXPoUids07WboMsnC9mL0Hfr0EjWCPet+z5bSM0vPEVOYk4TfbQ1DS/U/TYkZgzjPy0VXiEv
1z/V9KtnV/JxujgHDbm5FahfKhE5jHDkwCF9lrZrLtBbLyzH4yjz927qh007dg26EPj06JHwHsCr
CVLdERBOMTx123pLuikXBgZhAwk/9jWea/PPVStDFaBGwI2phU4lNuQ07j4OpH+fGcIMsSQEpjVK
UvNaak1bxcz9nMwQbe5S20HuJ3l7NZbKXpeezgALeAtOzufEmx1Ug97nSu4FuZOyX78XfQQEWh9G
RFnqNhZyu9M9foUfRgNCXh18NBxKvOAnBKq2QFHLA1frScbBr1pr53u6j7xB7h38oBPW6KS2FGAr
PcJCsu6yxz7WTchCZetHC+fSxQV99DpRThd0oFHiVqaFUBqU07qQKk/kKwvf5MI5e7Laph9xtGuy
th+kziKIijqP3O+k5k+pPmnBh66tr++eiwcdhEOKOBS1UJ0/jdSE/0Pady3HrTPdPhGrmMMtw8xo
NMrJ1g3LlrYJ5hzAp/8X9J2zzcGwiLJ32b5wqUrNBhqNRoe1+s5SSjy2QA6H67PztfgA8GgnfN2W
s3p+FnI4jZLW6VEhgUYaOy/AObEr2RuVZAc4ju9GqDMiEUG/9lopBHbNyPYcwMCCaOhcN2eIC0Pu
m8oDTIQLYBCXZEWQze8ElAsKeQdmqArSFF3xt1VdO7dLsezni81L2wJM0wnE9sYYVPkzyGL3WS8Q
wr6d93qA7ceQNro60IXECeky9E0NMlIEYMABtTm5A3GbYP1EIjjXrZQNwoAIIkAGi7MYkge1iwXX
w8pawbGhpx6JaZQBbS6n19SyNWRth5SKXD0WrfQjCrNdHlZ/kcFYimEB5GJL+jhrzM6GGPTOVtld
CSwqEt8k6H92Am14y839tgmsnV+wn6MFBgU44NBwu5PXqFnlBnKhHSV+WXZ3yWwF3aQf1S70rZzu
/kIceM/AGoFakcG78GQ2a7NX8OgOUeNT5iwwatNXqwZVenJTSVfb0taOMjps/pXG2UU9TJOUUEhr
pLt5xAyL+tmmN52xI+gLKETXBrsVeEMHKAGIYnCCMf/DWYiexupMxhnSzH90C8Aq+2n8lSXPzhj6
df85gcJ9W721vUNvnYmKArjkUBg5txVdm1CtjdLai+MpMMqwwuCpPgGaKfEoQWtfb/Y/tyWuHQI0
1jgM95A9YnhrIVPJpgtQ+S/BWzKZd1Fk7FU8af9CM7zpNAauz0jNOTk2pVaMswb4pzYY5us2bFxn
CkiDF51o0m1tERflAT4o00Lkz+cMQa3VfAN7nVvGLxQ0fFV4oKIqIe+msEkMwRTNKqiOakjPnu9X
lFampPYypnTNODwlrfVrnLv5D/0UjB1VGwBLyTpEYAbkXMhQdGEZDY7k6sOPuJQfUmLtJK183jYE
ftW+pMDwAMKFxtyL7FJaFRrSWSTyqlb5wEbtw4o+TxKYdAYMlXpKa++3BfKWxwRqILRh46rINfBd
PjNoMQYJADeeVT4XVXdLYmDmogVlW8oFpgKIqEEdwbioMSqBKWRuizJ1avJSwuDt9bfcTdHiDYLn
jzcv8B4EcdNFkQ6S0DPEOD4QzqBBiwtnCJIDoVFgTkfdNz6opvf7U+tnLligt1X6WpmlW+IFMatc
3CijpgIjKA6Jl2IoqfJHr8G/BAMsGv6nQUn2L8ef62/f/BsnuLnbuVcTU3x//6G7J92tfSOoAiP4
cO91F22ubua+7YMn7/Dw+Xn9p+0K/OdyO6CiJhg1EZtfQvnKQykt3qPiXAZqlD5axqgIel4u7ArN
JyhwY8sR618SRkyj3neJWaKrNQFek2mU6QFp4TiIRmAVbu/ERVIdXpNxsUEaattAXOVUIwmmqYZW
iT0kU2cFbH8F2hTm1zAbDm362meTn0QngNpck2zwUX7Ks2cAQpl5sqtS+Urqb5vwH8u6MkbBNfnF
Y3ZmIuzDUP1CQxXK0xdtFEAOGNNaN2NvLhAAgVQ6AZWaU7Qa+NcVM79JaQk8Q9Ns0saLJbPvDmWp
GvckU6VAjkFKcchjOyLHBhYPpFMt1HwjrdWHMZqmwW8GCtB5RZqka1uOCx1pyqyTvHIcJxQk81r7
BjIAByk7vU5EwefK9uJ2VNHYr+JORvPWufGrIcGQO0tRjO3JaCpXnVMPfQzbG3vh1x0ZbS9A80PB
BLQwDncP12ldyVoxpsBq7w+GBLweWz1si1jRAyqYAOiFY0eMwXkLdK/2WtZAjzkcXgmRd62p3MqZ
JfBKfAjzv8MH+GR0DjBqYO7yyELJ6uwavgJ9Cq4WomsWbCctWBr76aDhQJgG6sgm+dPhbBwMEzNc
kA5YUoxg8As4dUWfaMCXI53jo3to7tAPYIuKWiza46z8TIp6bgvUmZV5SCBloCgis6lf4DsAMwNc
g4KTvrZbCJMUE8VXxIO81VVyrlC7wkiHZaZXkjP5+pzswk6EgsWHt1/L5iDzgnk+hnXMGYXWAG2k
6zAZFOpIV7W944H6+0id3gGmo+MDuNPvRfj7lxc/u7Z+Wwj7psVtMqEQBXRxWEjST0e7KXZybR3t
sb6Zpm4Hhk+BQV6sJEtW4zHOkKkx5vcFyrAQV/VqUcQ9wRjo1B/bGuBlKR2vQSkmeEGuyMGcEeuP
QzMvLmPOAnVg+tUKs4nEBiAmAzKUT2n2bfsQX+wXA/pcCOEMMK8aSjNwPHsoBKaeElVXPabpdPTO
zmBMzsJfZGqetkV+NRScGT36xL7iTUaIhb5OzkaGuEIxrZ8wqKvGD2RUd7qFptxG/lCU6GFK2T0j
vynAJKwBmRnrohzUhbngFCAvDjIzwA2z5tlzc+l7J8sGomPsXEZqrButD6ewjB+11iuYGzYKP6sL
+rKt88UyM2+C1LGGbg6YDN9F1oVNSCM2MOfEYNYdTvmICt1DU8Kj5fdAa9qWtuJV0LKGsRU8aDGt
Zl+4THWYJLlJvGrOtVNd27NfjWHlyfMgH5Q4Mg9/IQ9TvLAjVt7lL5u0mQelNevEc0iGR/r3KFZ3
EY6hLoAqvDgR8CfYNQQqcC7oa+f0ijNwc0ZxC71ofQtD+ejCeh9JtuAhsbZ8uDhZVQptf+ghOTcQ
RBQzQVSXeFnyrqA5adiZ2mdFBCdvXQqq4DqOIFK7TNmFG4ljWSF9rKK0KV918+fc527EeG4+t/dm
bc1YIwzYF/D8gi85F5NkHS5QwLKhdSHu91Js5Me81uPYdeJEVK64SFLD+39RY8MxAg75IppMqFGX
Voy3vkpG+RWYvw6Ag0miPExULkqXSnWhurKkyj9bsOzsio72L1kczTgPiWzdN1MGwIthxiNur9uW
XLuW3IafeGpPzzPooT4sqzUOll20kUcH2/quJ6VoMHFtvcCuyypnrO2KB2Wpe0R8oxzGXq9TPySR
qzslZtMdf3tb1nZ/KYZz7mgvSNHwDjEZAWfodIg62TNS8LyJUsergnAVo7MZjVdA4D/ff0ev1WrW
EV8C2FBGlwya2t8UO60fwYGsfaDFGyH2tmqX/h3FMVapwOQc+kpxu5yLbIxQTmmRIiPeHBJN8QEo
PZtX4FQaZgC3FEg8Va7TBKQQrOnK1kEu6o3M7aHqyK3pXJMilCoME0W4T7TU8MtW8iNLCbb1W7Ny
jD2goRz1VQVwYNyRMtvJMQB1hKANJWmgPLlS/ODYLzqa52fUgFK3i4M6PGrRfihfMQI62U+snjz8
qKprHUhoejD1d5MI3kDHqp7dqlh1Ay5YZ49GzeQf72Y61EY8gr0rLfehDkR0IQ/0RUkAx/tMBPuE
hcvqpxpOuYWI6iPRPb3w0Iw5HOm38ef0PRP4+pVbGkSgqJYrKuYx8Do5l+XMKOhmJWTZcIy0P43t
Xafqbtn6SJdub+ia3SDMB+oTS1JdlNYiyzSj2KnxkImqQxfOPuN6s0tZcC7WxTDKdfa8x4jQuUZz
pLeaPUFMVM6e2Q/ocgACn3a3rczKuuGU46nECCfRaM0dPrSpaXCjU+KBa34ICnmQbuA6f05F27lJ
KhfBGI21IGGx4mMA8gfCQAWwamg+5A6eFNpSDS52oFqM2gljLF6OhCK180M45oKgWCSKMwt71hIs
Idjj0/K1sokLKHbPLL8R0UDbymadqcQtYyzLnaEVkAMMej9q28Dq4kM/639uE4iB8QejtpgK5SM1
OZYbvVEw7pOPtt8rzW1YosIbN7tto1jxDZj1QY+QYet4mPE4cdrQlEnSA/69TN5Gs8Fr4mlbwMpy
ocSAYjsDdNEwFnZu21VYgROl7IFSTcZfcZeDkSRxk1AVnNQV48bwKGjWMEAK2AA+0JSN1iaSGSGr
kZWnOTYAAiYf++LTAFFkHFPB5qxIQyMiex2xFx+gGc+VShBsmKWWgp4aDAXASr/KB7DR99APiC7W
INijlSWENFxbrPIFhGPuENWhPeaqkTP2JvvI8PkxuBWorSAVv3J+ANHCEGKADYxHJacTiqopeBxA
+y6X5p69l5McvQM5AdDdKNisVYUWotinLG6LWJcSuHeI0hrnOWsqDQgBxkz9xqSNoL9kxb6hFXTC
NBzuZb6KEQ9lDKUhyqilKzR431FFRBsjEsFpgzHaIapCiGjQPfk4Rw06F2gUPW6fo/Xt+a0Id0cQ
CkTV2YEUewRkK1y3vrPmRw0I99tyVk0bXgfpZaS2MGNwvjdjY8lzQVHPjWv9aRgswAyEh1klQU3T
G02yRW/utfcv83L/Tx7fAERtjWRRyKbtq3Zy24Zg5mYAVXGk1t/D0N5FcbQnZbrb1nJVqqngeWWa
eA3zIdGYRUYbAdzem8vs6Nhulf2jKhO6KO9zTQGQgkDcWnyE3NpveVx8pI6F1Uo15IFb2qPgJJGA
EwbmMXSvPo3GXY4EpkEDIXvSRRslS7ot5XKHWleqSJYJ5CrhvNfITq8fqPY86vsO2tJyX7bUm9HO
2LdXpigaXrWkhc7cuTBDKe+jHLJRJYPlmIYrT9I9zaIbxRjd2cgF8c2qV1nI406IPjnwViXTVT1F
Sg50YbIzgdmwbTmr53AhhVnWwnfNVRL1oBFBK7TjoDe8ex/b3oXFJm4Vz/62rMsCH9s+4HUAwhjh
NSAnz4VlXRYNLQOx6gw0cpG+cava+gAVxzNqZM/JoexdnZ6KJnY1+Uo29iT5EZqmN0TfhlLgf1ZX
13YA4Iq/bCDo/FMGVemsHiA5SAe2/+R2fETUELmZHQnuhtX1XcjhrEazWce4A5UlVfHHWfUkMOIV
83v8V4UQmB5SRgy3yeGRlaMakWmFzlfGnuKAUtmp3dwpBe50bdlYbsoB9i1y63xGE7m4KZcJ2PN6
YETbUXUysvDUd/brtqWsrRryh2xmGrxeGII93x2rGiSiAGDISxOzeDZlml01YdSfCPoiXo08fdsW
t/aQR18RukZgCs4lGg0ZYuSHYzDXZ1LqD90VklXl8B0DAiE99lLm1tZNNvptuNuWe1HxwXnAc4zF
XtgzMKyeq1mOhTn0kYzLSYpP6DvS92lLZVcujRZs90eSvU49mLCs8se2XH55gQvF0L3QNo1OGbSC
c+67K2hfAr8O0zeYxUS6wlL9qgMyZhlsy2Hfv3yp83K4Q0aTRtLaCsMcEW1vrRK48sUeo/eeZOfe
KAKm4BeTCTMYihcWFCO+fMBHurlRM+TVvL5tMd8GjEx0f5vTa1l0cNV68YmsKt2X4Bp7kZs+/8Nw
80s60vwmg33F5c+piipnXOBMlAhq0VCVzE13b3Qtsvog1PFAAdYL5K0tLdw2kPlw3tHNxcU1cxcO
mOKFtnVO3aF/ddojKsFKdBOLMIQuLnum2kIUH9LMZa4bKE6gwXhiwboxeLQk34zO9FI1fEv75kqW
zA9aqVdUFl1Pq8LR8YdtxfFEgZLTs6m7ktbsrQjGK7Q1Y5BlBzKqb1YeXSX1lLlO1hteaiRPpQPU
lZpWgiPKR1a88txjpWiNCGDqWGeMxdwPKNVEhgIAn8ZLB0T5s4WA0hDVw9aOJ+yIAe/hdkLvzblb
sJParkaZWTL+mpiwCl8wIutTETjwqm4LOVyKITTqdkg0yLHD0b8BSRyG7536Xkp3tirwBKuigIcM
qCAbA6J8ic+S+rTXjAKjqgjFgU2/R0iMCmnXKAdDv7YzQZ5mVRybzMAaws/xI7ihUeUG5uGwfADC
P9QzwDAwwAaClLykt8CMUfwsDm8qUIAJwil2zHmPhx4zsHXhYKK0wnl0rVZD3CNohq3yOzgKV8kO
QnKgVeUWMtjPFyFbkhZaKI+QMSXWz25Ir0Mw1/d2+IR4/QqjdpifFLEhrYlk3BYsnwdmFD7XNuQj
Sms9qdCK/SxJnhN9t+ardnzOR+CRa4Iwcc2RL4Vxt1PZo3HEAsaqZ6G+QoZPPUnAHURcWfuRScQN
x+vY+MNYm51ytATiOmSpbqDIny9pReJBTphISZl3AHNCE0S860dT4Ewu3i9fclRgx6Lsgno63zQ6
9zVtazMBJ+mIySjtKYq9wd4RutMNX40+MIdW5f9Itm/kIo7utUUFND4yzSjOsjr7uYaJnCAmr3DW
5QmDtnYc5PGLbL325jGyHtFPCF6y5+3Lf82LAUYByThUKtBVz3lus4+ipJWwpgpRnwACcexzzKgb
k9eAY3db1OotsZDFg7LYExn0IsW66uknAcV5HqKHyjDMlyaKMecKopBuql25cu5sOXrdFr52E6O2
DhAF1gis8bFqATbytpdxPTrZAE/66CDwKIAq50iRV1QCxyYSxp2NeQaCSKJA2KB9ONFe7TI/S97q
Opg0UYMz+1W8K1vqxUU0zdymaWMxUcqrmv2IasGVsPr70erJBkrAVMLf7JHcRXbl4Pe3Tv6kkOGn
mv9pz+/XcUM6BBV7BvryBSS98JSV3GgOXtBwW6mfmQUMQMSXc9FWyIn4+vlCRIF2IzlLEeJad+hj
rE7TVbqn9/U3fWc+me6P6pcShEEZtIG9l0ZXu9q2vbXrBq05KB1ZNgPx4vzWHHbDmHS4Vi1gBBmF
S1vHL4bDtpA1578UwoUJzZBpNvqKEYI5L7V1lWeAcLE9HAQvn+7yj21hq1ax0Ih7+ZVTSGujgDAV
D0wFeTRdlMdZXTN0i6CVysAzmU8/S+hpstQGI2QU7ZVgI0BpOspelKQV2Pe6HDzr4BRQKuD3Jh9b
HFbAGXi2TcDbindAkA4oBSsKMizbi7a6Q+iwZBOoCBr5x4AkJ2nWgicaUFFN0JnHJPaN7h+jApJq
8ayFj9vS1rYIrg7lCeAbICLnHLszE0xGWTD5ir51oGqXekHOZG3lfgvA5NL5XUXr2c4zGwLM8YcF
JdDkRkRXhkgGd3KIqZdtgZKAR00gRj5oIJkSlUHXLsClGty5qeReBsApRIzDiSSe3l5Vva+LyCBE
inAHxijwJO0ZYEKjtbu8Tne0c1xgSgTbm7528TgAggeEFCvs8u9bS1IBJMGcgFrvQJFLnJd0rMCU
+1E4v7YlrSq0kMSWdeFRgXJGEVpDUhV2rlmHHsauslYQ8F1MADC/vdSHi4dqlaaUgQEAQHp+MGzJ
HWtc20TxTT19GZTOJ06HjaMY7zHRQdqhvaeMd1kGIsB6En2MaHHZ+V6onMlZW+gae64cpTvniT4M
vuKmOppjXWcvX2Eaxi+C5MV+s73ttV4NnJbLwJ1lqhutShMs9mQ7r2OT38VzuUNbICY9yPELFtIm
+3lUfZIn+23Za05rIdrmTjnBG7fXVSgdxehf/YkUtDYGoDKggw/giD+WhbcLHi+4IjFawr8HBzsk
WtlgsC8qCQ7Hx1gC8GrwjBGMz8dE5FvWVhXi0NKPEicQh/nkclaPiWMmeL2jiHuLogVGszskZtBI
K6GHdhg/KTEDKjNI5OywrenK6TkTzZ2eTG+6tsmgaa7cALMvq18LEXndirVCBAgPNSTxgcXKPmFh
rYVZhfEkYWoxqR8wMyDpQeLswuG60wToq6u6IKmnIc0FRmoeOh+jxooRI0vvDeZBpUcCsubxeXu5
VnVZiGB33UKXjNXYwxgiijhI+psaY4LSFMyAkxLh0q3cBui0+60Mt2pzMzpTWmFjunSXx0davU/R
w5D83NaHnVcuaEc/DMJpvEZQ7+QfslkuDa2aYgxyzFxlcB2v+KEF/UkVg9Sz24uXxGg50Daqymgf
5TxHGpsmSNeYbd/QY/RIb+M9/ZCuoqsc0npBJ/qau2ZdI/9fmsY5C6t0KplIMgCcTmSfnKoT2cU3
9kneRft5b+ybffd9eyFXghzkyIGCgQw9OhX4IMdKi4bMFtRzQHE/ALwP4KXbEtas+7cE9Hqcm16q
xs4EeDa8yEGiMp3s9ioP/W0Ra/mGhRYXoJe2NFtjOEAGfQCyzW1WuOZnE9Bd+Ebepd1fPLcYwCTm
E9ioFco35xopiIWHWavhZXMZ41S5A6CmsRXB3q0dpIUUPh1tVb0mVyPi917/1unA778ukrdu/vPb
aakLn4PVw7yXSAxd2PR3gXa86TpLdlLy5mi3xfywvU9rpgAWC7CtYKYTDXPcwtm91eRpDSgAQhsV
KS+zdTHKTAJrtkUU0mt2jUw6ECkhycI05/keST0ePEiq48KPUNCau2sqO3+xdCgtMZwIhrvMJ34M
mwy5GuLVTWoNQdzklajMq8hoJaXzoJOftpZfba/fmhfHuC24osGLjTEmTqkOAfAYsacWwODdDrMO
qvRoZBF6ECQ3NgSvE5EwLqyvtbrvM4VFwkVQAg2MTscWE0ZUCXprt60X23fexy714mJ7YA/adhpC
1DDdyrRyWxUMfUmQ5yhFdgC5v5cQim+LXDPFpUjuQmzGdKBDh7i4KMpjWjjfOlO90XQiGjJfif7g
zlly3kAVTuFTM8AD65pIwimeOsBRpa+19ero7mhdKfEhJIIAe30d/xXGJ2mA40BLS4WwKiKHMStO
hPYHpwuvYr1wJWv+RzWBVGVL8h/jQ2Hma6HlV4P1IrwgcjKaSQovUhrAbqxfpkh15/imCEV1B0Ww
nipnlX3YJdnAVBzV6gdR9MaVWwNwv/RkVVOQy6DPksndZH+XzdAv7RfcpfukVd3OHO/U6jmadJSa
YjCvDII7aNWgUFZHQRaxIpoGzh0OaFYyrbJwNiczOrQtHHbc/arnRuB0Vk8l8q/AADPRl8tndZRW
Jp0mwYWa8nMbPnXaXVPs58+Ivv3F+VARi4BKBEhufFZndOpBqmf4zxSN4RTPQgct+C39uS1lVRuG
LMFYHjFHxTm0OmtzUuuQIpvpA77FS7PkMZxSP8/KY6eILoWL/ge8hhmS7L/yOOuZy3mGK0MYjMet
6jby50zegbboyb2+QzXoZlbocyi/WG3jmVkteISuXehL4ZyXSydpyNIIQCGqnF3bxlMuh08pwQQF
VnZ7WVdtcaEm59wqTZmBbIVlxaB5Zu5p8t5bgqt8VRkAXiNYRX4Mo3Dn5l5N46C3BZSJyWej+Xax
i9u9RET4qes79lsOHwVFOO7qmGHHMGan7KKgTVwUdO6NMMgC6QTwjr9YuYU4ziCrNM6NJoVaMhqQ
Z0AoguEjF40KrW7PQghnhU7nDCoG2nH3jE/1eMjaxyQSRAoiEZytSWUW2XECPdCzByqeHVWJZ1ru
ny8WUL/x9ofvx6QFZwNRnvYh0DUZLvMpt4KmPhEr2BaxmmJAZQ0OD13A6JNidri4WeIKVQdrkhFk
2R89fY6I5U7AfyP6LTim6JS4avJk539RE8K78rdU5rcWUvHApY5FIBVV/LKTPRNQJ9uKrZwf1oiO
pgewZaDIzTZwIaFG9wB8Afy4PqkvmByDWWvRz34y0FPTiVhQVtwsUMB1MELBoSNg5ax6pOZsdgxW
SlI+QYrgmxQT4wX1baN1teRjW7MV0zsTxlm3NUUKhgUhLM+OPbAHR8sdR0F5cHX1Fgpx5p1V86wB
5aIC3QgoR9QXNXsEgoBLpM9tXVYCqjNdOEc6tpLcVvjrxer00tfGzuroIXdqv7GdG9prL9FYBOB5
ERiHaAk54zBn1RnGnO0XaqzgVHRBpkVFNTX27VzQfaYbd7Jsuwf5RQPdIqm8ygEPOHai5i2RHtwx
6mO9nLIIeiSTdj10kzu1DhTJBE57JSY804T9fHGWSOEg7J0gZrb2ZocGw93UgE5ew8MIyGalwCbW
1w0cNICSwDOMv/m6XMkNEBexslDpa+11HYuw2L9K6Zdb868I/tLLKqktJgkijJ12GEH1DTo9sK5K
LyClHr9HJ81Tn9H+clPtwyBt3PRn/isVfcTazYtV/f0RnNMw2sYugJWCzBBx+9F1lNNkgLoUPJ5u
NQGuW/FQGQU+9PaJW3dVv6Vy3oM4g9QpYOL1stpwW+0hz79X02kgE2apBU5EsJH8MIE2xWmLrmWE
0iYmZujelkTRy7r7+K0M+4KFYZbSUFZAeoQEPGjt0Z2iYEz2ecqGTP1E2Y/F4b+tHuc4YlQRpzmH
wLnG4LE/z/cMBKKP/VETDOisH+3fqnHeYyycvMllSGrlPYY57VZxCxEU69rlf2aCnP+odcw49jGL
xihaeH0zfmvAJKno7iC/F4lPVXcQsT2JjILzJRhUY6jS0EtTXvvwXZiqFK0bFzMp9YCZvgm/v3PI
D4mOBzkv3rpKxN4kWjq+6tSZFRlmZtxVpLuSvbOTA2bsM01G8e/GLPxCPRoiOOy17PVyv/g4I27M
Ke9NOGIYun0VB3LlKocCJLLwH7rq1XfSM3xI8ceEl4yBQMWQGGOhWcthI/IJVYi1x8iPc/lKQz7M
kj4sQKxtn69V6/hX0kUuu1FAPdL3kERBWGCCra5q/+ZcLSRwXre0MEYhs7usAUaMNXwY0S4SzYqt
3pcLGbyPtes2aTTYhpF9N8ErGN2iM2DKOt/S0OYsWLJVhw7EZgath0wCXyNUpNGqzXrEGVYfNAXV
Gtuf2lMf31V/DBD9ZQa/JXEuSXYSUP3pzFu0j7LhG3LgVH9Rn4Gp/ZbBeSQtUsFrMEKbUULANASS
1gWFGihV59aKVzYgLbaBP4tux9c0/w7mtLHf/Y0J/v4CzkHRqkZs3UHLtvw0tY9CBGa2emctNOQc
1Jw5c5hPTMPiNRofHSVopfuwx8H18zYJUNr7bwbicPUhYy5CvSBQKEoOKGl74eyN0UcEmKRBVIoS
2CKfPDPHRp17hdki8pMS269vwLMf0qMhKquJJHFHTEvBJm21TBLGPjXpOpYI8Cpdc/qYRL0NzKwv
gkUM1qBdGXw6yDOfBxn1TLs6ZBkS2X7D0JUbmT87476t99t2t3pxLcTwpwvk4G3EEoKz9cN0sDcn
MxSkr1e960IEd7g6e1B6i70cR/uJdL+ofvXfVOCOjpHUphYxiiO1SFw5jXwZ9KPhr/8mhDs/VK/t
cWDrpA6mX2g5mDD2WvTtPwnhb/ccvCsd8gR4l+IeStRglgwXMD1/8wz9vR/8dd4MWqK3LFuqWC9E
f8dEbzYJWh++8vUb1sujggCLtc5SpokFlPXDCKaQu3f1Prmz75Xb2k/e5CsAlgIO1G9PLxHwlGu3
vpYELnX1sC701LgTZKMB2GYx3yQB3W54jYfaa8pTGp8UZxKs6ap7XcjingQgPiSpBbwcL6p+hCr1
5zp7lRPN70c56BzHr2twm5n59217ES4z5yRIWBYKrkeEnTvlpOxCJDd3ajD+AuHl6JtX8748hddN
ULzKu4foZ3t83Za/GnEstOacR9eBhGhmb+ZofNerF0mbD0Nj7jJwAaIyY7vAFooFC81+5ZZhcc6k
JEM42izI6Sq3xjiFEwYDTog0CK4vgV+0OadimUWjTEw1lV6BiDEf36Q/hS5B1QJr96+H5/OsXTPr
Mu582Kezs6bHIvspnCz4wqrZWC7+FqYaKIOdGWokp9Yr98ojuLmC6R5BKLiCohsD+Lhe9abuwsfk
zXyT3fGg3vae479o+9zPRVkAwaLyF3UNvl3aR1+b95z19077qMeCy2ZdBAY2WDUdbwfOPsAYMNYy
OxF07l2SHNLwRRW1cKw7lt8yONvoTTWcFBsy4oy+xHnnxpO+S6fQrarye6GL+lJWTxkaUgCFCIQj
5Kc4P9YYjQoyDuZLCeC/S9fpd0MT+3V1JCDXEpUx1jNE6K/Q0R2NmSt+yic3izafcopM72P7igZp
mEh8wlyd4eb3+i3GzLedyOqJXohTz9Vrwjl1qAX1Yvm7To92fQXQidwWBAkXw/tfp20hhrsNbKAE
2WMJraSD/UAD+SY+aqWfvVXvjatcJfvkmN4bXhhsK7dqjgup3L1gpBkKbQDw8DoALlWBPL0REVHB
6tWDoT0MmjNEC/4lNjYZuMYiFDUyzNACNjINWiBxqZPfApzPAlmgaNx8VaeFQM7rN70qpZoEnTKb
qicTIbEX9gbqkaCoE9jGSugIcCzUqoGxh5I1P2SjhLnUaEqbe/0wDa6cmO2+q8pWEK2IFOJ8xmxX
aTLN6DrsnfRhLogXR9Z1NglGnlftfLFsnNdQ4SDaqIcUM9vb2nEEuIl8a4imXb5A7S48/kIMM5dF
chLUfmU6OayFco58DG9ncgPU5du6CqbydSg9O77G7FwcXg/tIwX8nrFz/urFbrFBS0CAohzGreeo
g1xpNFmZDfUvbToZ9N0U+eBVq1/I4FZTQ9+NbqDSwbICRPPz/KfV/ejmQAk/az2oRdP5q5u3EMet
aisB97EJoZKufzPoh6I+m861ML23Yu6g9QPHHcD9Udjj+RdsmhllwfaupZM31D9JKLDBVUtfCOBW
bdQBp1tZENB0+xQAo9o/kYiWee22QhIKUFvsgsTRPbc/zPxLxI7gzjVaFo8V6Y6OgeayuU+MY4dZ
udtI1tO9qrf5YdvVrm0RukVBKgFyRHTrMN0Xhq9OxWQ4xQS3ZD5a1gN6HSf1OhXladZWEASMgJ8w
dXQN841fo9pJVU00drxUP4zlq8iYfanQ9tvKrFgCuikZKjywEUD3zK1iC3coxbYB+C+MuHsyCWU3
q2pRBPo1z710FmjYRHYB6J8qkCewadxJrR1kGWKtN0AP6gDrc+6sk0Smb1KrqUEKiH4375F9SIb5
rRsr6ncJ1b02jR8jTXsflegVk3XprQR6s32KCWQ3ikBA8GcLgS8EPClAwzCHgH4EHowxQ6UWszsy
iCS05656G4tv27+fN1f+97OfL6ymyFui52g4c0tlD747S32esocs3xu2X0WipClvPLwwzovoSaHP
FdB/3TDz5Yi4mQZmXFMVXGcXbdNMDMJE1qyPUuaFG1HbbkAsqeou8oGubr0a6bumvUjF5NbGKVVf
6vG6HXZyeKOmokabi1oBZONJg30CsOwX+jO3nqBRzWoNkCWq8l3B2GoI9JkBbNO/LMMjfdC0Iwab
x8AZX8K03YXOjRBY86tBlzNqfIIGKhvWwwuSlPNPkMzStKcBRm3RCilcPw2RXYiPnR4QFTOu0l1P
UndI0IRqehPSu0W5m5Br6QPUonArq3C/5FADO46GbqqOXpfsB+u5mJ7Gxtdkgob31KsNshtttKqE
IUbPwRMLEtrYnezGLdofegE2Wummq95z/Z+2eXLsO93ZJ1TeR+CgAZ5ylj/11rEoROiOF+Wh/63+
b9U5a45jK5wLQIoAkT31iZm5E7AXI+oS/W7qfTybfZo8Gr3oXbdyiM5WnLPrBFRZUjZC7EABOwCI
eKzjE8gNYGzRCdwFgqiQv/s5LflpCiTqUxuhlOGWFHkGSl05O6bThNZpT8UTyaSfsl35235i5egu
VeRbGmPk5k2pGAzXmEwkeWb0aOcgaRU9hi4yOv/TDX2TjKgD7GOc4w8pDc20hxw6T17m5G4TPhXZ
P45xVPoHy5Lc1PHn1Mfs6tikvqnsVO0TzXzuaJiumo+uBEThSrsZp30rIy0iVcH2Olw0MfAfyG6u
hcMM80g3SgWLbyB06OwjsILcQs8hDmfeAtvHPxlVXDxKAiu6n+P3srpOCxBfyyhOTo5HY8yxOw+9
humx+s4eIrexbtXW/LH9mRdh8NdngnTPBnEAWO/5PABgP2VKW6xjhHtasjwnfYnJVQ3KJDADJU7k
69ajDWxrAIc79Vtfuf30qYNhevszVq1m8RXceVTrcLLSEF8hd5arIzRl9fT+j5mheWW58yfbZZ9k
4Wi4Y+Noj8WsyIzqwriejLnxKsfp3L6cgUYWqkBkLXIS9H3Yu0mfjEGrxbYgBXPx1P76HNYUj/Y+
jCvybNGDjBC2+D/S3rS5bV2JFv1FrOIM8isnSZZlW57tL6yMHMGZBMlffxe83zuRIF6xkptk52RX
6uxmY2g0GqvXUoB5y+sjVYO42Wl67sQJdYjt9fY7KT9kzD8oJvHPN2Msfdn+YA1EM56vD/9F+Uv8
EmH8S9DCalqLL2mH2Unrbd/qKErWe0u9sUOQ2TWeAtiSpN7zt0V0Y8134/SiS6GHR6seDNBpOjlq
f9NwkLTlU6Nz00RzRr1zaP5OADifymol87sov/z3zWiBA9hcx7u7UA+RspwRm02GE7fvUPkm5EPS
Yqdp9c0I/aNwmCEk6zUESJ01XMviasWUQRYQmecF8XVkDWaJfmLD6XNWOn3Xlh4a8n7qHbjRr0+M
mKv/5+MfS8K8RFYY6loDS+B3A+EfdaU46IxxZ/Z/qzstWhK2hkoxaWEGS5EmeyFObrxLOlr+oK9d
DL7kZC7Sjj+jJ55KelFbZIoRBZM69CzdmVX8Mb+p+tmjybGXUl9FqIwUgBvvFHmjajdRstdtZEWv
uf2uVa/EmvEvn2w6gP7bafp7gHHQpOqX6isy38k+Xp+D5RDJqXjRdADK6a9tfBLJTS0PodOADzal
8G6MgRNoyBHaw+C3HLUgU/VglGdw3xGP2vZnFv5oGnDCoHt2M9uDV3bDSrBcXvknHyQkbnOsA76P
JkqnMOeAl+oUuUOr/m0bq64t4Yky2bfyA+tMPIr9/fEOundcHPlxgbYFYZlQkLewhCJQFF0M4lfp
EA65D4rBFWzakouwQyDthBQdLd3C8S61GUo3BAfCaEipK0Uxc9Iprjw6dRDTC1spwP833IQh55du
cMLSDEW1YrDyFYeXEnUUyEFpDjZTDsMWviTXwimNKcJM2rTfxkjzSlt51Tooqo6la5fGUxixnSVn
t7Y8uFSPjyZT7hNdD4whW6lKLI0KFiEnusalATd4Hi5OVmKZghK6yrFJ00xt79UUIs112f3Q7KrH
tTcHsK6mySsImYp9PM2JKzH53or7fCWv/Bp9YQtDoRfrgCdfeD8QFiABzVOox4rhdGNF/dgCIljV
GvlWCdF3PxgR76VkzNXt9CnOKQXBxwxpxMRQMXWouQKu9LiyR3ltX/iis1kSsq0+s3M8dGBd9px3
1dgMYCs0D+UMZoXoXoMeo0xviHHb05XgsHAUnNnlf38yI2GttXYBmRgn6dJdTliQzGgX7OjKKuSf
f+GeypchAifUMIQBz0FGryTcvSy9MRXQ93UruKulpWUYJxaEk0YZ9CmRCzhC7buIvI3aDoWnjL1p
45GWN9An1NVbVq64tXQPO7MqhBNoxkSxbsEvg7wo81sohZtcvpGKhyb5nXdQ94Hm0pqcy+KUoTSl
4vTmOtPCWBodygvmBE91ExEj1LcUwNeysFeqC3zALqbsxIwwoI3cxBPhZsaIuhXbxJkfFr42PpYa
5LNXO+d5GLpmThhJXId4xQ2hISsfFIoO5gN045LoVx7bKAn5tEDO4JbFT3QVOJRtrm+/60OKduPz
XZCnNFe6HAeS1sY+s+X7QSsPQ279y2b735CC9vHczJxnYPXl4a8yHluoaJvv81ogWdxoJyaEpLJM
5FjuR8xaNksO2BfdQVoJVWtjJZwnQEbJBsTTEKnieKOhv2ocoxu7XKOl4qtYXA9c/hsNL2j6Axn3
+VhF9ShR3h4ObnrNT+rUCa2DUneQ9tlL5hoF0tL94exgEsJgpFuV0aaYmVq5GabfRqxui25bl6Nr
gtUxtu/luf/q2m4IiKTIRibtxhqf7H7bGz9t/U7WfpbkJygmdfXB7gqvLUtPZ3uJfLNMcLAC1nV9
wS6Mztn3CqOD0hvuvSW+N65RGlHNTsatpx92GYUMAjRmKgedd+1KtONbUJiSM6NCRIioaiWdBKN0
9guU1lgxOU1S+JDJcvtUB/Hli4XuguueLgV2RDlOiIMqn4oeqPOFgBYUrTBHLASDNU57k+YW1jSa
GjzrLif3xdT81k362Jhrz61L1dVTwyJIKxq0PMco89vtc88+FPV3ZMteZT2Xza5LIRE7Hyuyr3uI
qRsrsXdhj53lJ8JIx2rforAJ06ZBXTp8MCjSDsXKRv7q6r6Yz5MsSBxZ06yHECRWToqIPmTtJple
y2lGcPc061tjOUpcOKidkhLALdmds9ibgbwrp6cq7bwsCcruXbVRQc2deX7/p2nnEhXgpIMYlBAr
W3Dr0WpCilb2L+O0z7WdlgcDRDfHeRtNP9twT3U3K3bXzS6V5TDyf8yq56stQ2OaZBe40TEbRcbM
z5AQJnnid1DsbVrPUiy3DL8N6UYBgW2Zg26dgLIXjIYA10mPVPVU4oa5m6I82Vn7du37+MRfTBkn
OVRxd+evruefV0IAt44ljIqpMy+dEifjrd39Q0h2bfYxzStL5KJdH7dqwkVV/397wkKUyigvkxbD
kSbjFsUUJUGXnhJU1S6XbpLqZbCeDOMAzpl47FGSPEwEeMboVzp6iXI0q7XGuuU9efI9wpJFHyRV
hpRPj/Fe9POuyedAQcjrkxdVcrP+ddLB6pM/1xO+yL++NpaSvdPBENu68ExojAq4a1Ft7XCE3+Zh
FZjhIcSDGMV1qfppxz/SNW6N/4tVW0aRjYsQfcXHkwxdwiHUkE4znDn/sHPZMYr3KMsdUr+Y1q4e
W5eQJ0mXVpwVFxoeWE2cu9Cug4IcjmDhlB9kBr1eyYIgjLwz0gl0DbeRcYummmZ4LMuVcHdxR+Uc
d1ybECAkvIlfqFxwrcQBraCx+x58D3a/Hn74d0+Rt/Yqd7GauRmLnyVQngFaQQRYgcdD6+OZJu6r
4RyCwHFuoV/vuP525S3TFste3BB0j3DFB30fHnZ5lnYyZ2qo5qUaVYnrHbxD8H7470cQHIKDA7P4
hR/+//cP/rBxdg5+BV///PeXvuMXzu2t622Px+3v49bbH1+Prz9ftyuLmu+Y04iCT4XQHuAb/Jd1
QTlH687Qw7KH+K7bukEQJO7Xj+0akcoXecmFIQ1atJD+gYK8SLcjs5JmdMLge3vPC7wATvuOu+LN
5bKFN9BZl6GwDmyFeDcCjy6ldVInbubs96977/AZbN5+6M6bvzLFF2nJ17idWBIio1xESmjHsLQ/
HDBtrr/mytLE4IEVZIAQcdMBDThfQ0lpl2mboAiyP3je+yH45WywHNztSlL3RYMnzsupHcERZaBl
nJWwc/j8/P78/Bw5s/M8Oo+zg9Zs/Bn/BtP+re9un35X7tPvJ+bwn78nB++N/H9WbklfNFKXXwTW
PtsCTyyi6rnnDaAlRdwqWCl8u+zudxhex/Xg+9Z1V9z/+o9dMyaUpBgp5NGouTEPq98JHjfYmbDk
bb0VU1+cKxemdABmCGQioCwnpDTy2EYgPW25qQPfAcGOb3seCOAe/PP4r+sbYnksT2wK+UxkZ2Pf
1qB09KijOfgN1O34/RXeZm7i/tq8bR5uH25v/ZVJvCg68/0BUND/nBUOkL4e1FjOYBgRsHSC4Hnz
4d6tBZWliH5mRT9fKgRcBRDE4e55B5TKEEEfNlipL2vL5CLxEN0R1qSZ5I0ifxl694Ldxrlbs/BV
h71YHSYaw/AajM508TFNS8tCyoDS4TO1J877EPS+F2weflT+j69Q6W75Hlg5epe3/4lZYftnWkjp
rMAsXx+Z896776+tz3AcTG7ntf7geQS7wsFJqTsdfub44xsAB27n4+HaMZ0CPzH+2+sr9wuxfm08
hFTPKmIgr/T/ppYfo97h6zdsHL55+ImKY5RvVv4bfsePW/zv12bCdsIPj2/j619l8v1y5atEBn+p
DutePvuqr28LvP9Ob/4V/FvwCycC/7H2BRpf0uIXgMkSuB+o1iOPEcalLFEp1hsAXLhhZBRfPxAi
H503eH/n3vAw6R2DtaTmIqdBxRF8CcD6QV8DuDhhB2hNG2uDBbtDPzVOb+LB1O4dOzN8LY9W7h1f
tIVnTgrGhKjcpYWUxpaGw6907iMncnANdgfnF/40O+ASwE9kbj78deD25vbBfdw9bna+D/d//z7+
xLDsAr6RXo/77dE7vr7uj9ve+R15zPm51mclFmN4fswHBamHgXdwUTPWyBgt8NSUoS9NDhvQCGZl
7YPBCaDcegx7spnJnOyipshXguzClJhoK4FAB9SxyAUJjRVK9TTrYAhAl4Lu4BbXe3j/B27VAMgd
fS3O9cXPQ4EwKcAqog9YBdICkgvCpNiZpmXNAD+1DvUXQN31DbNcghIFaXxirzwWXeQ/qG+fWhPy
n9IuMsNoZDg3PzD0n9t3pnk7FpsEQK/uBs+r1527gEhiFs/sCYGwhlJi2kuwV9jO/B7+BrXOdv6e
f4925S59rJxmkz1PHvturIQUvm/EUdVkLlxuQBYPasD4+5O7gqnVeROWNjS8q2PCvkUpniXXyoUr
Nr7umCc2ejVTKBtgo85CQFQyYB22DA8914dwaTmeeCLeVFU87DOzhhWaa88qA6Fv58kDyxxFW8m+
L2Ig0KyWBbQoAbKR6/ydjxkCQ17ZEy148487pf3dGOkre2vZBMRmAP0FaFYE5qol3j90KDy49RTt
qhaCliCy+PGXAwY3eNcvMThHNRjFzt2I4h4quSFI0GbjuzWimvjRoNAtsxUzF7PPzYB1FKqykNbB
oSGY6dOM2WaD0dL3ZW0fqE48EBGuRIc1K8L+sdnANCWBlaYCo2HS3KaG/pMWf6s3znkqudAaxo1X
Z0XC4y4xUrscYCYy35Pi+5iHUBz1VpkNL+93Z3Zw4p0PWmV2pZEy2MmL1pPqzTx+auXNHKtObGaO
Yd9B8LCo3XyNf/siyAp2haWtopoaDSG3q3c+KG3cYrAdFL39YQTGV3uUC2kl8l1sW0uGzJNigI8S
zMe4b557Woxh0o0dEMKA+brRWOIpmDmh9hquEfasGeJb7iQKmWiiV7QJhloNwFiSaOoO8nLlfmqq
zwyCYCt+LYykDUg5oqpBgPgQhUZ7Cfx2ioYg0VbZKyT3vC7qewd8LU4qFweNEicEqclf72jsNCg2
oS0BZ+5XXnPiYkYUaFalfeFqQI+yYXCG2LPxTBLWK3n7wm7jJTOuzoXWAUiBnY9lMrAGMCSEDkOy
byxaAA0LaeFSI2tXrKVJw/sbyNPRrqKjLHhuyJ7kCiEcHk0ZKuHq82AftdxPGm1l5BYdOrEjLI5Y
lvCcnQyIhSHZJIAIqIR6WTsH1yfoAvqB+AEW+D/+8O84maExBBLBovAHAGovy2aoOQQt8c3Jrcwb
JXNGaC/VktcCi9LP+0RbAQYtugmwH1YIgYC9+JpVQOeJU98VLg55X5EyX510X1HLtQQaXpwlFdzL
P2bEt6tQ75VcymEmimNXDz+ZVj/pcul1qrItq7XFeJEAc2v8IAYIVAGdqJDCJCMea5k1wyksC7kq
97L+PUl+QUTZi/O1h+GFgxnGgGPCpdXQIWd/PoGK1MrQg4RrWlI8SFS7JfW362tkcY5OLAhLsZan
JqI2LJB0cItocHA/foSI6cpSXHQE6BGwS6NUcsE/3iXFRFFnR3yyoqNMxictWUmTlhe7jTccFFxV
SC0LYwU0gKHS0sBiH8PHsJwhDvNM6OzplWM9FYWvDkeiH8gvGdl8QbvN9XFcCh0aRF/xAUhxoJB8
PlOF3tahMUHmLrWAdWhAl/oj6f0QWMPrdpYCvcYB4HATivZiY2xjUKaoiQI7GjmgydMbS9MJp8yx
7XwzWIoDwN/KNv7CTIobDPVyUCtjYIkmZu35zIqC6XoByRTtTY+AaE1o/0lybV91xqHoW9Od9fjZ
bMhjwkbmGFms7BqdyTchrXe4wGtB1dUUMFHt5fpoXNybsBnxQoaUEv20BpDF56PeVIbCkimkbsMU
4FlckPRHdQC9xtAAjNl+7uOVdbw0zYDRacBomNAiEK+/EdpQEhMQRrdQIyfsvxMSFNXsJtnKNC86
dmJHSDChUB5LVgkMcTi8dOPDUOwAmPOosa3sg1IFFfuHIxZlWry58d0D9N35QALda0ghi3EDsKCK
xYBdhjJe26xdPJeizakZPrwnB5LeAaihWBg+035gpHQ6tPNa9vP1RbG0RfhVw8Q9Ax1hIv7OSlpK
7T4pXGW8C+MDbXTHIltbDrrCj6d/GbgTY8JExXJTtjRPEXV02anrvZpsWsgsXPdo6cw59Ug4c7I2
alsJMRRUboFEercAFUlc3nZ4CB7+ZYH/8UcXrgID6DtYHsFUpHxU1nbMjo36XFe76w4tbqMTK0K0
NG2Wja0BK7a1swEDr+4HyRnWkG6Lmwg3TawDpMagERBWW5QPaUKRg0da5Nn9LxkFPVgjLbjwgFbE
Q5FrTWv5wdIS53TMeMRGtyIRZXmTtFQpWisKF8mVb+c1oMggGCTH6wN4WcFB5APIHfUAkGiA5lEY
wSwv8WYN9Wa3rlvHiDWHmbpjDg04jMd0p5ZhYDC9caS6dwzgd5TiBzWKA5rogwEY9KFmaJv8bdRr
zFtLQ457DFFtA9mKaghxBAd/yNIYlYSiIx5YDRDzf2dVuymVl2J2pfJQraFtl8abGJqO53tUlHAS
nE9yRaQO3P85dntN020t50DKaPF4KLXc9K4P+qIpjDuujTbUdMRXXR2RJSxsOFc288FGIyUb5WeT
sKfrZi4RArBBvqAISJVM3LDOXQLi0aQyv47PAEeTLH4ZuuTQDr+m8KfGgF+Pu9gxetk1dPakJKNv
QDrTk1QZaO5+rQ56+TSBjzldz0KC2Cng1ZVsrGcJvTUvfWYM1TZsgaD2B4NMTzpYY8IAnc6F4aCI
31OvUuzhG1Ym8yZbiUDwYg054CqxopSPlip1r2OvJKkjha1NvFpqENOmmJV7uynJdzrN9uNgNnmF
goNiPaVhah9HE+y9Aw3bjxr/ldRJ0YTwntfWuOniMsqCSNKHzlEh+9o7cZdVw7FhKKh5mKIWCjdp
DWU5VZOzgMXA1/mMMb0NSJubUPSZNa9tSPVQhfWM3sc0b3KnrzriktGoghqczDTqQMnU6mWBh6C4
r2xnqll9ZzedMjumORY/pZ4k7xN/AHQSUsuJAx5T3KpGfUZK3dbouNbTSjVvsoFowExF8hOrhzE9
9PpkPigxtUcfJIks8smo5vcQoeo9tdIiEx2uoNXQcwWsU7Ukh69xZY/kEFNcF8GFpZF7paHNLo4a
EozpgOwgtCLs/Lq1qAzvU/LC0jpCo1w/5Bul6cqAAvxZBKmNNihXTYDaHKJ2/BbKcdq7bERjZWyo
1VpbxlK0P11CwnpuZjY3AyTSoQtVOm1414ePBLUlK1s5+C/gQ/y+i+Z/ALlQLAX4XjDUpjJvdMAG
ncb7otyC4T+Vg6l+gWKPU6V7AMc0aXt9sy7FhFOTQkYzWkNLCgmFlyYGclyt0VIRV0f00n5ct7M4
hjbk0AGMgmiymIPbbT0PRQ473dhsWaxvyjp9AZbxserZSphbHsY/tsQK+jgVLFF4xXk2t4r1XZ6O
nZ64k/VNr/x59tvsmDZrcrkLlwzUr3DXBaUwPzcs8UCT+6hJWqhc5vYhqh9KdmjGH1H8bSrd1Agm
bNjkGfvcARWQWqEHQPWS7L3Lv18f5svz6/wr1PPQy5TGCrsYXzFkoOYJn5op8wCacMPYY9VbnLhJ
u3JvvVxAsAhmD8Jv+KjyC34XBmh6krgrXLwAuVUtBXpi7Vi4Zmahxgs7OJeBxOcIR1HPLGSDiW6k
EikXM590ezgmQ9xsu9i+MbWkdKiaMTfWcMnrkmaXlJAvByLdWllal4ks+DhANILymsX1bfjfn+T/
s5XZVcILvknbHpC5xJuQWr3XTQAZgrYDRV+g0VeiwtIAE/AtA1fLQX5foIATm9VgV3Yi5yWK6GPu
NDRv3ahmod9Xyq/ri2dh4/AxBq6PY6XQCifkIqEy5lTJ4B6tXxP7VxZPjtZgzUgfEv02THdglprm
v21wRVH0zKh+PqYyDfOo0bFk0Ri9TRXzvYv7oGz0lQLHsnP8TQVFe4KGRsE5WavVsISODhrNIfJA
7xr7mSKBpvdW6+qNT9sDDdcA8ZdRD74BVoPhBJIRRb5z3yCd3Nt9g83R0l9Ni9bl8i4MJ6eQVmZu
aY2c2hG2fWjb5ZQT+Na0N2X+vaO+wo7XFwefhvMiyrkrwvA10FA2FApXuuY4y6UzQjvuuoW1wRIW
gqW2xIgLOJFV6IuQ6C5LrCOBfJPar6EAFsPkybzw8TzZU7SyUrwZwZnCupfQC9KazjyCyjx0QuWW
KaHTdmvPukveYUdhFwN6gOyNf9KJSVtD8wGzUMtWOx3Kx/dTclcMSaCtsbwuLYUTOyLwmcWtNskx
7MRKsTeVAtrtuTfnkXd9stbMiCt7zAe9l2GmB8unzSw/po1X0TUWuEssF6IDIhExDTwhgmtIsMPA
Zp7IFuq7VcJmvAqxUA9UCBVMzph1Gj1k0GkMKquW7hI5GXytmYpPi9Fhr7aFBl7NZvprVll8EUGn
E7qdAIJGsfR8IqUC4mq2RNGPm2rDuzzNaHUJmULAndHq1rfSnNp7I4lY50p4VEASh3jr/8PgnwyK
sN2J1ui4qWBQrHB4KkPlZ0t0j5Qr97ilTXI69MKOV4p2rqYQU0zYmw1mV6VU3LA+ztpdLM/Ift/H
+V/8slDzwtWb52+CRYCwsypWUWVPEisM0lo2bkptyPCKm6/J0y2FM0j7aWDxwlmOfPt8Frs276KS
m+p77RaYjoekMN3rs7R44uDdjy9g21I1sbobh1nazTKeWmo0XEQNyNe2qrzthgBE9or9oJroO+lX
eD6WwgyGDxgj1FeQhQpDKEk2RD1H1NeNMXKI0rn5PO2orvtm0a3M1mWdEuyneCkwAHyGNTEZIpld
N3OiFng7pc4sefMQOYr50aiHgt0Uzcv10Vx07MSaUKgklHUzpbAWo3JtFRtNBg1B2TrlGlntYsjB
UY1k3kaiaRpCpJbmJm8L7tdkyJDt6gIA1b2kb52uldyUKB6b3myWu1M9HsKcBCFaLv7eV3wAKtnA
l/LVc744KS2raGQ4CWNc9EP6o7dij8o1aGWTlTlc2uNgFUF+gkdwAAuE5ZLMplXQROLImfvBYoGc
O3b3YFi3WrpjY+IQ0qyc8kurBs8/YLLVcUzhVebcN8uMRqXNE6j9Wd9mkNhKD7TVnRY9WGT0onZN
RWQhY8dA4l7CJxTPd8JQqnVZgcahRrWgt+p9PekgR5IaMDyMepr4Gqogm66z2nDFy4XwArYzDYVE
w9RR5xTG1RyHciz5bcRIjY00W0GVrEEmFk1wjgiUfsDsZgoDOZhgoSATwfabo12tokSEJ9y/XocK
Z94wwdeGA/giZe4nkBH2Bg5fSrdqHUHH/rZJVMeO1yh5F3Y3msHx+AmVVdDgXYxXmeagJTMR+VOG
0lAE4osbozxG6sp6X7xGEpB4oYNJBgmSmE8YyYAFmGHUSk45ozHAF55q2xmLT2O6T7L7Sr83zc1c
d8H1oeSzIabPaAHkKx5BWRZnS7FIr0cMDnbSN0mHvjiqVkW0chdfqLyi85aLpeNREY0oIozGbEKq
GhSbi6hgJ5o2ZfkwpkeTota5ic2t3N6qajAnusuQeSofqLJd9/JiGnlaZKIzjAtVKkCgnG/upi9J
M8wjGmClTx21JMn2VTuEDs3aNC4awtGNGhlwGYhg54YilshayA0pDeq2pturo5sAWDOD2k4LYuk9
Cl/aIhiLN5VsAO+Z1Kdc8i1z7VJ5sQm5wyffwb/zJKvv8CAh9xDRRet56FhqGOSgjQcjN8Oz/aG2
nLC4JYDrK35dDI6V3NrSCvL2IpwKHyDkMe0sVfmk4gN0JY4g5gEdPhl0ZgZKIoWc+TQK/UY1Vob/
IqgKRoWzONSqHng7GO3G2E+rm2akTh4H0rCVxo/rK2rRFJp8eeEDoU58S2hDuwfMDjhmG+qTUrSp
VD8Hzbo6eGH4t0+h3Cug60xZB/ASCLvzubSykuhRAza20b6fux0d3uY15pOLKPBlQuM7BGkhUsNz
E6jvDkWtokE8nmoUeb1J+Z2v6ZVc5i+CEeF2EDdxODeQHQULM5FbMNzJLbSTov6dDnbum1aqb6Ns
lp+KMU+DvKrYbVfVZPDHXkp2WZ4Yfx2VhA8SDsM6Vucq0YHWjlWPyKg0g2vV8oxwT4anMD7aya62
g6S3PZMcEsNtVrXtuIGz4Pv1AX/A8MKwq12mz4TiA0jaup3iUsnX9J0pHwzoLwBpUUqe3eCaA+bR
H7qxu76CL68BgnVhPqRJn4ypxhIu5U3c3c0kdNTkuwV8OnuTrSBvgrZZGfLldfbHYWHE8TxdDwXH
42vhZ549ThVwxL+vu7W4MU8aDHhkPIl8ZS3PkDSFCdBJys0PK7mh1v0wg5X1r8HKwvgJsV6npWzl
JW9lSKe7sv/EFSdQ42Ll6FoKpCjtItPRcflEre7cHxB36o0dg4sO3JhRE1Dwak3vfdKDMGLPws31
wVuan1NjwuApuYEMEYhCl4XMN6Njqk9eM3y/bmTpjDw1IoxbiHWHsxhGCIKNOhwoRGDAPSyHawt8
0Rs89WqGBpDfBU+b1RXRPLUInJVhOuWPcWDOZFDPUPymVn0rfoIUoqeUaAfCdbvxJu0+Hr81/cpn
LLr75yu+eppPFiTIf4dEqvAVRXpL2bfRuNHyp3BN92PJCpqv0TsEPnjcl4RlYtuInGZWgo5vvtMz
z7bupNGz1jhulkYUSQ1njQDfJIAB54vRrIa4ZbTN3TYancH+aKXcYelKqeCynRYbizOzg72OS96I
XWITU1LZ5lYUGbx3fV7nOlgYS2ubqTW4JrHrMjxUzXnjR5nVHyxrhlhGyqbyMJqkRT3Dyq36F5PQ
Fw3q5jKyVXdO496zolz9Jbc5hAaaMAKNM1CNch20E4g5fd2iXXc7DNoob3JqjDgPGr3SPbzAR/+S
jkJDROfM8BhJ8ekkL1RF6pMud2tF9YrQpwqufZbTTysIw6UsEBk3x4bya7TYtFFVilZLeJB36ybq
gyolv/PK0P/2SslnizccAFNhaRcQ+bDXY0lXLKSaZbtPQFQeFfHKsbG0uC28BoOlGwhB8JwKy26I
+3qek9xNOjXzxvGzUaBTMRqTNwKSfz06LY0ZEFS4G9vQpDBElFsIjoF6mhCdsok6Vnkc8od/MIDu
XGB2ALwH4OXcGcseDCnP4YzBic/7Xdr9+BcDHG1o41UbKeO5ATtKx8jW49ydGfkJtg/XAgvbyqRf
3lcx6zYKlfiJuw7els+NlFAZqps0zd2xDTdK4tsq7hHUk0xPM14jCIrV0m1hyY4trVhenJ8Tw/zv
T8LpUEXD1ORZ7pK6+DYMxNUjdWXbLC23U9+EAwplIOA8YvgWqR8ohXna6EsW3sqNldOWR0sx/QPj
Pp6o8RKH9F6YKLBHEiudQd7ZECV04/rH2OCqxN4A6niwx8h09SK/lbO1ZsFF91BDVGREHo6mOx9B
CqqRLhxgdhpMKFLWmpel5Hteaq+F9PP6Ulw8LzQgejWDKzKIAaiOdbWcWgQ6qbbvWKK6CtNuuyjz
r5tZ8ggt7/8zI9z78lbvy85EnJtCbXA0NroUINgErJdpn2//32wJR6CegZJUGmBrKD6sfF9kh7y6
69eUJhaTc94ei34plOgvGMsimkythrPKRUfpr75NXQiVORAzRtO07tC4eciK3Cvr77xZ7rqDy1sb
ZztA8CZ4VkTSEBnN/IVZ1vCw4uLut6S8n8y7ONmp2q+y3hrGUVKfyZoW0VLeDigpMjXANXTcdM9X
pZ6UExI5rEqziR9UvGIVP2vw0lvZRmfBdQ8XQ4gJwA+KyzqwTcIGKPUhJrUKU3WHLuRWabZhlK7x
w64ZUc/9SWVSYO3DCNTXX1koo2dizcTikOGs0lWN55cixEWaiD3OEk6SSep/1VGyqxg00nV7a7HP
ullDMC9dROwTa4JDmoyrFUM91O2VGYm0jC6MGV307JsVS2/hYN8pxtv1ebosG/JDBkBjzBJIs/Cw
eD6GeCOT8AgAkyWwX2ymrlIlL8QqXwt5chh0UYxC8bqiqtBq+K7Zk6f2utdblU8gy339W5bH+s+n
CCEmHNIpz2scO7bB0NuF4HLX1X5vdH6+9pC7MNCo/6LvgnMcK/j93OsWAsU1/eJ0HqEr025S4sXG
1kQrW2R9Smxlu69ZE6Y16a1umGmBfYe2bnN+qaP3MUIpPcOVCRimYnt9HBdCNcHtAY6BwQaJgxA+
26oxZpX1OL4NskG1pZd+Gt2jNdfedTsLZytBFocLhImLhCY+2epjIyUNHaBjAJK35tlkW0O6KfSt
krdOo+L2XK1U6ZbGUUGFTuUaOmjGFhxDOyCUDEJEzXx+GGs3Lsa96u96wHm79nDdt4W1SPj60Ahg
GypcPF8gsoROGbnCqdr21n5EXuGMPRRcDIrWmYw8mAAVXje4cIzDIEGPkgaqa2Dwzw3OUTmGmYTD
KGXqppcsp0MhmWGfXTeztDZOzIj6o02rVkbHzYS4FqXtoWrdsFKht7MS/5dOOALBIVBuyKCmg3ra
uT+1bfRdNeOpdK4asMVHUp45XaHW+ynXj9LYJkcrmbQfYW12wVSUWRCnZh87emyiW/u6z0sHPV6y
8A7PW9I5h9r5t0D/TKWdpeBb0tvKQs8BABpzyHN3PAMFkoyAhiq2vdafuLhcT8zy4+skjQYfOh2H
WEX+PkpHALm9PjZfy9jaSPb8UJMUxKxrRNdLW/LUU2HUZYkqZGIwmYyfifzJ1CCfuXTBjSG7kd06
yVpX1JqPQmib27BOShMGy0kCoeNbPb/QMHLUMnUZ/VTildB22Smp4oZ6MqZ8G52MqYEGSQ3ontyt
1F8jJBQHKNftIvuW2Dui39vdS0+D2sjROAIg6soVeTEmAOQLWgMIeWki81MPFEIZlVhGnYzn0Hbb
ES0YLCjCRQ5rV952lh1FTQGqfRZCnXhCZdEYDlCxzl3NrGRQuCQge2ITCE6pTp1eCX/oEfRLs5ip
N6qsPEmhonmMdKYLnhIbh3hMd9d30ZL3QLTonIAQiFQRmGCzqk6NQsfIh5ZPjGqvQ6O1DSwp29R0
3lw3dsHvivd6tLL/z5pY0QOBatRVCfT2lOK+R8uYVDc1OPePCF5uXOoeo6lXAG5Sx0GleKpL0Nj5
XKW3CNISfZSJkz6MnuQp6cqH/R/Srqw5UpzZ/iIiAIntFShqcVV5t9t+Udi9AGLfl19/Dx0x05TM
LWL6e5h5mI7pLIlUKpV58pyFlBO/a+r6oXxmauKbXCKVhJIadqFHNyoq8ltcDSsbvRSiAS/G8DTq
C5iVFVzcilhQSvUUraLQiNyhjUBhC0HevVqOReiFvVU/Xt/tJYvASIDAEPpsKMkIUaMt0KcwU9Dh
gg6E3zZ+hTqZPEanolVCl/l1tZLoLdnDwBM0tVDfmJiDLw8xxqmtpi9wueYpSHwUX3of4/EQKupt
HKyhMRaD/3w7px8zixi0qSMVaTVyaos7WfHRNs/6uOkUdIpfe/WUBMjn367v56KTID7AEXBWqCV8
wUSW/IiX+IJxZ9ksqY4dW2OeXtpCTBzgHTehCsChebkqhSnRCC6r2OmqoxzfQK5cUrfWGvB38czj
G02cI0BniHhHMyMl9K2nM++ndxGRDkVQPA5muAFDxxmzOysJ5eK+YUYEEtcEU3EiPkgGxLNOwLzv
kKaobio9s476aL5c/zjT5gsVIRTs/hgR/CHnqAUELYxomEq2osKWeOQW6sd1K8tuBzzjhAHEQI94
WUADWkl5pOOFTxPMdCmAnuf7sAt2EoNwTkR3mMa66bSfhvVX6Q6qnhN3BpyPfAHUgJXTYqGF/L8h
bh2+KRLGsUrVawPm9E2yTbT3Luu3IEZdCY5LW4s6CujngEGEXpaQZ6FsoklgI0axrZJc1uxH3ETB
z5WNnYKR+P3mRiYnmp/nfqzkLoCRVrIA3sm50/vSJtawVN7ZWdtvR1RI02n2zrBCewx//I8/QDjd
GfpuUpzgB/hS4tF0a4xvPjvTYVtX/qYp71X5ySS/0Ki8bnfpcMzXLfhtVdbETAiCtMYzTyJbU+/d
6xaWcjkCaiGELNCW45V1ubOlr/ikqgYcP2BjibJR2mcubam0ayLuxNBZu25u+sHih0QhCvPGE182
6kSX5rSRIcAFCGGKclQsQL9qaNny90xaAzou7dzckJCjVrmW+oBDxA7N08dmTJ9IOq6sZcnz0f2c
qK6QF2Cy+XItIWUxMVtka0H9zUS/obhL/6aIMDcxrXLm95pcx0XyO7XvnnF7GdBtxPvVaXynLu4K
ZSV+LX6c2YIEJ7ciSy5Cho8zRAelbB3JyO3O5Ha/llCtGRLcupe42rQRdo6zg2I+t/GprDBiuZJT
LX0ftBHQI4NEySSxdbl5PR/NUWcmzmxsZnYrveV5sev89P66Sy95mg7wNWCTIOkCP+ylGRbI2kgN
hAYz4vRGZgqw37XCn69bWarZYSACSAVgvVUdQPZLM3LNjbTpUE8KG+m9KchWlQgEV2SglqH20QfH
rvoknekWmE+2Gn/j40iZue/Ejbni94vPfBPaiBN3DLhMROgEyfUO9fUEIX+sIeUYtr0d9ej90gz6
E5nTSZaThQVkJUMbui1ONq7pCS5BntCQV3DdIJPEpgubEUzMW9xEoSHBSkvoXnRQztYLjEJD4ziW
9pREqg0p8oMP3RWmKo5mruGav/gwVQGERzGfWHRiVxHy2bzuQcxLfBCLGv2+V5Bc6niZPoz1SoD+
+igUDAkRug5VhaUjDOVH8qP0xm/Jge7JqeSOtqEeIkKz8t7+/c66CNKXFsWRIl5XlMcyLMqDQ9+z
Xe/y2+HkP7Q7DNKdegfb6aT3shc+K4NtHFbFN79koIJ94USlXGFyqMN+sJdurUf/Jd4XL9yNjubT
4G/GHXQsAGB/Us+QUbp+yr6EDMGycGsocd31tRIA5GSCPTl6DdLcq6WVjGn6YNe2V7g3ShZ2vOqw
vFGBk2LOAPW5h8oCQ1wtv/gKZE1LcNl0lnN9bV8nloXFCZdJj3VFbPJYedseZb6DdpcT/hwsu+ls
9bZz+4N6Y3qWS56uG17cVMVCRRCCaABcCevNuyqSwbcUQXsFRSK+LbMXttbyXTyNGBZGVwPdJwzv
X0ZHYNVbqZ1sFJbe7joNw6yjcltLQ75Dbcn7iwX9MSaej9YiESrwMBaQn5q8GSE67v/38dXpa82M
CIfACEBkqBMYodKRUbfVjxyYzTQhXqkeKmUz5t9V6dv1ha3soiG4f8BHa1AYbFoYh3HLmJ+0FkPO
kZVJG6TA7UpoW3SM2RIFx0hklvZGBrYXmdwH7K5onWZNvWTNhODzgcWD0fBBdxWYnybQTiiMGv5K
vFw+WBPA1wDcAL2K6UfMs7QRiWg3sdZo1kmCtGxxykDH3tg92bF4r4VPBiRbfdkmPsqUtzR2OWTC
67Xi4eQQX8LK7FdMH3f2K6yU5CgY4Vf0kKckthr0tgrq5+gj6G8TSIV3zNXB8NOuwTUXnWZmV0iz
ghJMsHkFuwN/VHXoMu2A/nVRmbvum18f1zgQMDORuqGzAJqZy/VVY4NSJIMdiTahTbEORUeHmWWu
yjD0GQwJevmKK1XkgDb+deNLNxIFrTFAP5hkQuJzaRtZsTYoKmxHhXlAsufGcu10PXnXM2Pvr13A
XxOs30v9xxwV+W17wyyyQYVyWxxAQugn5vtcn9m0esAcs12mpRuAGSXt9l2wciKXvuWfdWK3L9ep
h3I1qD4MpxCoK4i+98PSM1T20AJ/dn1Lv+Zw0yKhX6QTYO/1L3JZMWTUmjSELbNCg60lGDFtQIKo
xe6gt7aW95vpv5cVOUdKvMNvdUdzpeG3vNGz3yAkcQXK+2nc4TdIBmdPpSF1N4meSi4fM1DhyKgy
d5I/bv3eHA55qJa3SV9ua9PsVpBR/89moG37W5lIEWVVFCjZYu4SP0TWucNqt2123Pgu1V6keT61
M7z7O2xSCQ7UtfA1hUAxbkCRZ2qtYuLiy4RUQXiI5mSGEOkPZyIVmyhmK6nHoltNnGaYu6UTru3S
rdTBshKwj2Obw3cATyLyw5qqNytWlmI9SlDTuD10ab6QK3KpJ1KWl1OeoR0aHXw6DR4Gw+eK3y7t
Fwr8CEIGuPq+zHQYcR4qJkcapbYIsT0zX1JDSmytRsuGNbH6zNBf5HXCHGZ2n32efasq476gDB2a
hDyzmpKV6LQYGoEukyepIDCliNhK8FXhYioThKcq2TDCHkJj3NVjAY1maAGy8J42yUbrk40fr2QM
X3ndcIoh2YV3GFwX9sVPG4G7nqDPCxKHu1Lvt2FJP2PQeyb1A5hZXcUPfmLQxubWc9s1dpu/1Ry3
UFeq+0qLkKiptm69Xf9C06EVHRrfBROnqMUjFRSC2GBURVEPcOiwh9RCe5+QYYtSoc1Yf87S1mPR
WvV1yb/nFoW8CZQt8TCMsJjzsYAMNXUrOX4LtRoM0Gvd3iUvn9sSkiZFqsde7WArQjZtdRjZzV/y
biWlWbrv5kamMzDLJUpNgsaTBSMDQjAIyezQRwP7wAI8cTfXv9bSa2huSnCgLK6bADCkyKlq1alS
UBBCWP6dRb6r4p03+I2dNythf9kkxj5QtUE0EimROSgmolbH6mRWwBJ3ykjdD5YMDKB1ZuBk1ZLb
SBpX4PdkoqL84peTtD3KUcjdxRnGmDW6pMaIT3QbvlJngKJPesxOxI6dG2kzOGxvHXuXQtknOeXu
aLOnb4VD9/0hfGLfih905RsvxTEDJLSaCiQPaveCI0lJqQ2BgqBMaG/LhnkO/dWcbdFZQeEEVm+M
LaM7celHWZqMmhaDCIfd0wfFyw7+prXc3lE9bet7kZt3thOvXANLvjt9VDSUwPiEmSjBZo7aQVbV
yGF0Y8jvkqHtQFaOqKm5UKZAydmvofBcYXJ1JaNZWizmFjEqgpIYKkPCYss8QToht5DYGG4jAvbW
ADn3yuKWIg1QCLhHLUrBSiUkonLdd2moddD0bT6k8ewHz6H1rJve9TO5uBL0kPDJQJSPf11u4Wj0
Q4zrFAfEDB9BxvfCy8A2uzX6j8WsB3PDBnpHv3nfBTu1xZgv95hcBIeaFmz06KZLvaHcls2drG0y
ZUPwUNKPSvv0F+ub2RXiddArTdAF4xRDU8+K+J4UD1kirezi0j00X53giNwPRz+ZpmYDg+ZOSYyf
k9GdFYImQM1TwwvzRnGLNH2/vrpluxpeSmhM4E4WfETr0oJUNVY3hokTJuZNa+juMEq3TIIcmCJ5
uv7rusWlUIII8o9FkYSX1UnYEowfOyTzHZOfrWatb7SY4sxNCK6CFx4tdB8mTJM5eYOTtQn8O797
zXVwW+9U6DmxNaaypXti6uUCJ4sS75d7gmnQHR+5Bjdps42pvQG65fRR55K2Podlf6hpcpS7YX99
M1esiptJcb9HbQurZn875kDa36nBSyndVXRXFk5BV7xl6azPFkmFjQV9VRNJBOY6/pjFNwGhEI//
i5MwtyGcN4jkZrqvwgaNKigR2xoNbBUdk3JwhxpqXCvm1pYkHLwhMaMBXEIYhAw+YjQH0n6zOn24
VJbH9Djucbg9Bk1EsmYS+XVRIZFwGgCYQc6stv4bhNP07+EYWZ6VKeljn5nR2ejrcgQRti/dJqmM
wZAu8rtjUMTxTa2ZAJZf956FtU/AXBVSZ0BhojtxGbrN1ArzGk94VKH2zD9URm+b7X/H16AFNVVj
8GpH+gAVpksrUHYuQdSEQmHXFdpRMgv1zk+0m7jv8G4tre3Qqp2LHO7UA99tBzxbkxVYWiYAcgT5
G+ghQVst/ADDqPIkxnuZmY8mvcMMo7LWe/2qX4lFzm0IJ4O0+ZhaqJmDYZI7UCPZ0DoDA6/sGqzc
1KF0VGvDDlodAMsCHM6WEyXg4EwVGwyZuwFjJD1R7Vp+N1ATvP6RdaxOyCQvfplwnkwjKlg1FU5B
1W2Rl67BGTr41fa6lYWoDuc2deCuMQPxhYpBb+MKVN54Varlr6h8Cv4zw9O0v1OOIWM8BS4r5EuV
JldsqJAPJ9amKOwaTMZD4ZqrGkqLvkIA6AayDuIuYp++UzmOaYQXBmEHVfpZtFszXnlRrJmYtnL2
XpIx7w9+DJhozEerDW1MPctrQ6drNqY/n9nIorLFKBheLWb2q4g2UXbb5w///YuTCcANHBayMvEu
0DNUVTAPgeABzx0ACEEKdt3C0j2Ogp81Mari6fElSfbHgtWaj53K9Bur3vXVxsyc2HijgYyRrG3f
oc62AuH92jqHo81tTgnTbOfKYJIwh2ShQx4txR62YJCx6Vu2tc7jYPOX6mi5dKUav/SxoI4MNOA0
uPAF1RbrJKlpNj2gpWOsbyU8o9O1zvBCoqDPbUxRYr4sRWZyXU/LKlxFRmHQHZMTC58BhEX3u1l7
FCzGw4kqAZy/aHSg2HRpj7PAUKoeD8bGaV35GWxhrY3GlGPaaAUfzVvZHWzppvbibWdf95rF3cQs
loyxnenNLkaKavD1hiBShMqBBoe8fzdXWeCmXy/GVDB4/WtDcJIsjWgDyBDePFvDDnf+Rn1jx8az
tlDvevBdZaVmt7wkDPtPlUQDauiXm5kUNAyCEUsyFdzT37vkNNQrJoBAWVoTKhzThMlvNbJLIzXv
wQeNQS8nlsLieSJX+tTkqH3BTH4OLCJT38F8Z+1ZyKWzkfL6wBMl2XBgxXYsk4O9z8v6jfZM/ih4
xnay4o8elzQf9SA9I9us9ZmHoabmIOtjS+3RSMc3yCRTB5xbMdyjp3IOFLdZugmEIE91GMNHKj0H
nXKjnqrBkG7LgvU1qAeGcVsohf+hciU+6UmT37O86o8gbavvYqlsUCcEm3xoR2CfB3dM5bu+rH6a
Y4RJIIgZMRUcK3n91DRhiHu6Dc+aUWqVG2ohECg5pLChCBgYADmPGJx9qfWIbrFx3QMueX+vaIWy
gRJEMIJ63qS7IO+zHM3CojyGhEy/jPF9i8F2Vy2aNLUHGgCJbmWdV+ha6clpZyXbxi+aHfpD3V5n
Seg78hiQZz8ezUOnV31pyz0ISjeMxiDSpYlMjxAAYDu/swCdySu5qqBp1lKvg0Cnq5Wj9NYreiLt
2iYOncbQWsvjEGHbJqOlf0vqACgQWZaeOJKO95GZ7LbKO7qRlIA0TgiMfQypQGOgLgSAabsB27/y
SkYVxRe/12/ipFE+mrhUf1LoUEHaJuabrFRCvPIZBjhdKc3i1yTSuwITJFn8I2Vaf+CYGnzhStvu
s1QZnbIbkhP+9+YUmCZ4zmKDnJg0KGiJk2Bv9io/qaFWuCX063O7QKPu1SpU/b5LfYvboEkmuZ1T
M+7AeOj78bYBFeg+U6v6PuKk8ADGt2qoRpHhIHVp9260gbwxIL+QOKaU+dsOHIelTTEucGfGfnWO
WcFzjNZNiSeGvB/9KEkfsnTUM5fnQb5vQBH+5lM9AOxBKbsP2oIX0I6VYdQOahDX33hkSB4f4/zA
Gpk8pU1O2B4CviGgkOp4jwnr1AMFn+ZITDLuNaNg+1pBErNtKVAVm6IpmGLrKTpmkE+IhnYbV1V/
H+ft0Np9bLFjp0nJTmdSs2NhLingPyyyz5Q3wROoqsENWmAE4NFXtCp1U6ONnzJO+0cVWLJ3MIJz
oNgsUGDynKdPKWmLDy1GLdhWU7027SAKitesi617ZvkgN05zQjBQRpMbs+sBmWna3ouzqntSi0Et
bV8qs1992/UbBRiUJxX6WJUTm2jzg1c9w4hNElrBI4kYmFVCDeSJPioKT+qgSl7GGhLYcibHkPRh
ffdCSr/bszgpLTvtdP2my1V29kmNA5xBAwqnaKD7IMnbm66L5LchI4qtRgXFT9dMlmDUITPOSYlS
pK3Ay/YFCyWEDr2MBsgJj+WBllJ0N/CxyWywLxT7wtQjL9XAec20EcKUFaRtjxKy4R+qQrvn3LCa
fWLGgEIztG9uUxSWUn8oAjcvs/LDN1lwRjRsXKlMhk8jUQtvpETCoz7tIZth5Dyzx2Hwb8I2xHvb
GnS2LShPHnuEa0/mFQgZYAjKw1ZeeCYxoxPNM/4gsSHY6QHRcBzAamubelBvfIJxxXgYWw8guOgt
sSrJpkPQbJIhMnadbAA6p/ta65blYKBdo6hV4QHB7Xt0MECvRItuE/KUbrI20rptruulBQpzqo02
AImVZXcA2tWuGlRxgEpSCUCRlgMjbregV9lA5qMmjuEb0UZXovjJhP5CZadVL40IYVo5OGNFx9yx
5Cr6hRk8y7f7rKhfisxim4GU+ZtBWb1rgzjyBhpXb8SX6l0BQV6nlJp6UxrQcSHTpgepNL5SpZF/
dTQywSIaZfdAzxlHv7aqG8wgj3sFjohBLSlYmyBefAzN0vsvaZDZIPQho8zhmIX2ambvEFjryrXy
7uJzaGZHSEIwqRL4ugY7KSbryDNv/3shBs+hP88UIQGRClwFjCJlLJJNAZaRSntR/vMcxO8n1x8b
QtbBI5W0YIDDk7Y68Oa1tB4jdn89V1vZpt8PgFlWarEUGNkSJlT6LYCcVFOuDAQvZU7TfA2mnFFO
gbNdJjUYkI8GGUz7YFk8QEwIk+yguFp7Mixlg3MjwsdoSdwZcg0j+n3yUZz987iTHN1tvK61Gyf/
kHfXd23xjTI3KHyZKNZMH9QvqKg4CiLp3bi7a28Avboj22fLlY9rKfVSaohJNjDlUhCSW+LYhmxK
oFmskX8OCSAl3Z0p3TfayTdvxzVa7DVLwtu4QAwM0mCyJG9psPNL06b6/RhtM8td2cSFDhtwQWAj
RRcGHFDirDgHv5TeJjDF7vmtoWw0QCYOtROqG/KDrbyVF93wjy3Rz1UFCkwph61WcU16HqnXrk1i
LR4lkI+heYZK4xcR0hI6UrHC0Fuv85NmQX0wWVmDuhQ7pxboPw8E9fIsERr3ZRfhgaDZQBd75bd6
f9ttfNPRt/xOdw0nAA/Zt/qg29Y2/wVeYMd6poq961Dz2qx8vKmc9uUBNvstwvMyCKUBHDCMOy15
GENPBhhIMd5U61UGoBNeKeV2NHh0jX5jaZMB4cb+QoAJxX7BbNmkQaZMYE6p2hYTr2m5Rty8+E6f
WRAOgN/kqm9NSE6rGd5z5cc0nW3JIIUgaEaG3604vqP1GtnFYqEFLN+YywJYZVL2u/y0Fa9IpfDf
n1aFErqNs5DuzMauHf82/Fz5dksHb25MCJdFZfCml2AsMlH2DPda6zWIyyB3CoNdH74y+oMXv1aM
Ts4pOszcqBAys5KjL5PAaBDaZFf+SA6o+Dv0u+zyTb9Nn1fMTWv4ag6vDjAQg2NOLEJQuSh8hiFP
R70vj8SN95+h459q24AMm6PeMa/aoz9knv3btUbikgMBlfevZWF3rXIMfDa5aBl7+T7+5R/l7+UL
3xorKLTfjLfXlijsaGpFEDsKYIhqtvWYvXjjNrShg2tDqvFHctIegk+8+85+auvn8tl0VnZ46aYA
nAij7/Q3+69QcK/wulNpjg96yh7qW/OOQgl5W6Bs61iO72BK7G64wevacpPXFcuL33ZmWYiDmhVk
VjC5Eia5NPsW+bGyBeOaAXZLM7AHr7RDFyR8n3wLEY612e+lNrg+X7cQgkKJSLgiYb146fA4290q
hh2/dG5+kLah16xs8+IuQxYJY8pouqOcdhkYwirAnOoE8s7YOYRiiu7V+barTmyt67d0QwJk868h
Ie6BTm6w2gl7LZVPTfmN+HtoQF7/cEvBe25i+gmzZJMXcNdwCq2jse8TYEoU8hfZJhAQaPWB3X+a
lb+0kFko36kTStXqbrpha1gbS1upFS9dwrM+kzi7oFRJJSvQG3SgG3DszPhQhxHoU0Pw36ru9f1a
NPUno9CmOD7brzitM90MppZO+5x2nh7cZGyrk911K0sfHuoBAGICJIl/hK9iyGFaVM1UmDa2ne9J
RWSD5f+6jaWVgEkAc5dAOUBHVfDiLB/NwO8AHQmC1E6AJdIHO842Ct9ct7N4OOeGBC8GU2pJk3oy
VNX5EeXH6JCi/LUx6qq6M0qDOWXbFChY6O+9rFSuPmperIfEaWi4dqkvHV004/DqmahiMfkmfL6a
jNmo4pFgRJ4MBnwlePDlG2jbOL2yglZbOllzU0JETHO1wI0EU9PQTkjuO8yRX9/ZZQuQSACwGWSN
4n1K4jgx+FTUr6ttnp1Ju/IQXfQQNKj/+fvFWzPF9GLZ4+8v0h+84a6foq5mGRsS5iunamlgDl0R
5I4TaQsFfdrld4EjArJRwpTZ6uCL0pDySJ7mJ3aO6mY9GoBzG7bqg0Ihggq2BGE9VInHqkENtbU5
SVAkk+2ws3aNArFRCyXSlb1YyiDmP1Bw4rrNmrGZ9qKRXk39LtAPSbAJMhD1HYp8R9YAlotbP9sP
IQCgOo0bNUQvJQLeA9q7tp4PjprtfJQSrzvRUqiZL2z6JbOAllocpK8DFsYxFEGea+ksr4lvLfop
CHihrwFcOe6ASxOdlGrohgFPyNVjECnoua+Cm5b3648JwVUH0G2gXI79ajBg4kCYtTmnHuR1N4Wr
3zZ7yU1/hU/No7ly8SwWHSZu4X+WJlxu7WgEUj59J0ywhef6TpVslPntH/JRnXh08NxbE+JbjGB/
LIpUZGEaWxnQmUD8YXI5rp4qw0vjb3F1lJK16bLFfuVsdSKKkXWsjgILvhHvxyO5IS6quWfLyTfh
vvouf1dt4zjsNOSYD+NK523FZSwheDJLL7sCKgR4meS7jIdHkAf9xR07X5wQciqiDj1n2EhLb7YZ
6VDnTu3YiFeuv7XvJQSOoo1KqjDs4dBLwLbYBmRNisil7WPHY/dvzvK/3igy6Ay5rII5F7s2KSbq
2XOiR7Zuruzbb5S1+MaZb5wQMTB5SysZ3QUnerGO9B50MB7DOHX3Vt9AzeXQPgz2mjssR98/CxMi
CJOV0LAqfCuf72SM8JTVaehOhY7CG0hLlK1FvOs7uWwQqHokRpAtFEOW0uhhr8UN0uJv3RnYpGN0
Nx6IE75eN7OcG1lglQV5CETXxZG8nA9RRynsGOExTA6sv40xoKYqr6CFbAAKgD6u4gApZwNf9DeB
f4Lvo81HzC8zl2k/RmiFwXRQHdImcGT0FIM1norFBjoGiv61IjhLy41Ig9Q4hhM2wFg9avbohYf8
Nc03YJEub4Z98cifpc4GuH1/fW8XL7aZZcFnWpoOkj7dOpa55ca2TCqMjP5NmJrZEK6dIg1HbdRg
o098oOUR/JuVI70YCGcWhAvG7/I8lCRYwGe0GRR92rWhr9/T41/OM/ANUGUC5z8AIpfXc8IsdUzr
HrgNB+JeD+Cu9Qpn3OkvHriOnfakfwu9AJea6VXH58Guditp7NL0L94Hf36A4CO9FppAt+IH9O6J
udb38Kbc/4yO+p6fQdDh6ql9yFai8uL5npkUnCMD24meJZgCSE3+xJEDQd8YnGBjkOmOQQZg6eLh
AU3xD0wjrPjl6nIFpyFq2Nd6Adv6KWgxTO1at9zTt+F9+qqdjMABeRDo3TahZ6z40mK0mXggIQsF
/uIvIhlF1FXcnL50qPn3iUkw6//UVQUapPkRqvZO2sv3Zf851i8Yk91QSGhcP5LThxQ9zYAOOKaP
oXQGabdLT+skMPGUClaecCXinmwM8o62kgYtgBzcFGamPF83uBQD4FegvcW8M4K54Np92Cl10GLB
VgAZeRCcpLejv6Y4MPnKl1XNjAjuC9t9mFMYCcj30ABKYBcjJ2rKp6p5ub6cxf2bWRK8toemhN82
eEnnfe2AygbxenRUIA9I/Xbd0trGCT6KdEiP0d3H09L68H3whTwaxua6iaXR4d+kmJh5hIQGSkSX
3kDRtq+k6dgXhjseobfqJkfpp3bonpqbYHvd2NJ5BwYX/UFAZZG8CLZUFdLzkEPGeWcfRuhFBhBU
OTA1st1ZH0TyCv/zusHlDfzXoDiDYMYNJhkrGFQzstF7gAvB2JsAxnPdzPKR/rMwEXAa9SC3GYrJ
zgF8U08Vd9Ufpem0QBD6ta1wt/SuW1z2wT8LUy+/Wp5pSqmmkw9Gnp5uKHXT+JHQlVC1dO3NvpfY
XNXAUJ80BayQ8luCmnG+8nBb+/unP5+9eo1QH3t/0jdjPRjUwETL19KrRY+b0rpJjpZoYqGw5dDq
AJoaiY/xWNaDw/uXUqYA4AA7tA8H9OTCFV9YjEMYbMM0sYmRCrG25deZAfQDLFrKMWSYvude6nd2
1yioIKx4weL+zWwJXqCasaRpk5ZZAKYdCS1+8nLdzRZf1tOo+z+rEe6K1BxSWvawUGD0ih/y8jHz
H0rqpMW2AagKVQR+UHyvAwwMapbpqtbEtIIvUR2NKlBCggvrS2bOukRXGgYPlAKl43ZitMMzDSWA
tEpuZm5WsxR91r54iA09uQXXUpQ5E27vpIDMrATJHCTRrm/J0p6D0cLEva2jkCJSdunWmOqFNcXL
Hsy+/bHNflw3sBSzwIqKCxM1eYy+TH8+OxSRSoteJliywcbthNPJJdnz0cv+72aAoAKRERjIQGAo
mDFUvysqRrCz7SNXN1V3qK3N/2ZiCmKzlZDEGoowpkhpuXGOmhSqovyclsnKiVs847OVCPcxLsnW
DEeYqdq4vtEMSIAxSTnwPtTdSuMH04IsCuX+DS2ytbrdYho530bhiu7KXBlUA9v4EFu2dqtu2BsE
t9OdfEPuE7fcqA+4BHZrL/HFIDNbsnCRdnUTam0+LZlA70z1yugxC7ZZgGmpFTdZcvfZ+kQua86r
1vRLWAqgRlVS2a7X2PaX/H1uQWgGGCSDWHcGCzHF2zD3VGCMabIy2LK2DCFSWr2SAzGLz9QqL4YJ
G4/XXX3xg5gEVH4g08A8iHCaUs7B0leg9xWizSBrTgKuufgksTuMUF239BvIIYZEPDNRL0Bcxni2
sJQoVnhMpqn/3Byga3LTtr9iZmf8LJVgd882HdkZydvATrl2h4GuFetLC0XDZkL7oxAE7sTLM53S
KBjDDP2U7t7y6DZ7GHdZZNN9vTkOrgH4jX0snaZypJWe/rJd9NNBgAkkiEiCyXQp5WAfxgfk1UcZ
YPi3fweQ/rbXnkhUrQSupYgCjiQwb2B4HDLowtfMMtRpzGmoQaWy0483Cf/siWlrGWQ7btrIreqf
17d10SAYsTFxD7plTSSPlsDyquYo8wJ3kt0M1VtlopzbnwOzg9aD/zQmgwtW7pVvOa3iiyOBygb8
/BPdt9gSNlB3MlIFc/4RtAXlaK+2N0O7loAtGtGhMTi9+4AOIJf+Ypl9g+YYaoYlrbyKjfsikLeV
r2+ub+DiMwaACwvLwZyzRoQoUnZqpEfG9KgN49NQ3o7QDg3K6kx0fYMRJi8ogjsw1D4MUNK14o/r
1qeL7MtOzq5s4aKTCYhZjSkPAzWx3agYWkq8hj/Sv6C1mgjT/00NpkMyu1CVTOnaBrMiDkMOGwLk
FQHUqYCdZQ3ruOiPM0PCrRaaTG/yETlIpsrgvPkAgoXGjzW9bQw3zcJdZf4FPAEpHsKnaWKKUsQO
5F1jyWWBsOJHh2H8Jus7pfwLXDKomjGhCdoSTRUTc4lwVKol1EAtzh2jBwUh7rS1FtjSPTM3IgRn
PRo5DVIYSXTzTtabeyt9uO5raxaEA0VImkA2DKe20Fpb6W+1eOVTLD5mASOEPj1FGRKg2ksvi+Qh
9LsSGW5lvsoZSBBuoEIvNc88uFdSJzhJJ1TBx7U39NIZmlkVX2oBctRYm+o3XTRiGvqlLg07N910
jbV0cl3xrM7tCIHCL+WuT2XYUQo93YbqcN/2r+Vo3enj9wREJbYRfV7/YkshcG5R9Ik0IlmU4TBF
ELLRqwQKAQ9RsRIA17ZPcItErVS/ZFhWa23HKLBH3S6gEBSsvNjXzEzeOYtAmVF1pDdgJseLM+4H
O9E/626Xy2vA9SUk5nzTpk2dGaKDEhsq4AgOVKscf/iA5JFSnFj+UPbgpY5yR9VUZEB/AeZAu4lA
MGJSflLEiofFfQzGTNdI3MqHOjXObfN03RuWjtfU0YJUHl6QCHdCEGda1vWY0YMJozgXU1kgH+0w
aOyEEwwrFyiHHQySup0GobVvar7Gk7fwCYElgTArBnrBvSNS9OltoyShiktERre8y7Yc8w3yuxZu
r69zwesvzEw/Y/YB0eHwaWTATF1jUKzub2ta/KrTNankheN8YUbYzboZizacSGLiip8oiPIMzFZO
6gmnMmM2pjhWkqaFm9HAexn4CVAKfUVRcEWSC17hqud68QL10k3Q/AoYWMW6R7gU5o4+rfD/SPuu
HclxZdsvEiBDuVeZNJXlfdWL0NVG3pOU+fq71Oee6UymbhLdFxsYbEwNMsRgMBgMs9YgUeXqGo9k
CrexQpTBbKm+uKygm5+6/MHzDICSZ1TSLLW6Z4ivEQ+CNQ54IKd71vRdGS8Uyj64srfMSTZg/rtq
51gSy8vECOsxQGNrDyrEjHTbWvcgYipkXFvLlwpeHvR+pokqx8L+InYy0ahtqhwDdj4Hi00F+uEO
WSsM8pYelRVXV1ezEB6BXQqn+XdkemTo4FPAkVpEjckQMGtnjAzcOd4/nCa0COLXFn4LcVioLw2M
UpoOsjVAMwA24wRgAzOW3PxrdqapaBFFWgtqEzFXYlCeKzFT0DadadsoQWUjA1V8S6bA5S4GY0ck
TtN69/cr0zCJDx4ghH5nCAPZYOFB2cQL+wTo6N2ubAPb5cMmNWbJ8tYc37EkwSPNs21heBHLS1wC
6CVyXXF3DzLyADfN/u8XpaMdCTgdqKucPSABZBkVbo4kcDNa4aACKzyzwqlzJbfxmpWDFxraQw8j
Xj/Cpd/azC3qFKkTN6+8dNqC7ChxDpbtTdnm8oLWdHcsSbj3E6WcAV2FBVXKBriNnmV/cTfkxtNl
MSvBLfiG/ixoOWtHZ0lTdDXGXyHGnO/swd3WdSNx4OsrAc/BcpTMs/GHoixslESRCSqrXxOwr9w3
m4WD+S8GADDg/5UiuLg014w2WbKrrLmv2X4C4OQouRXWhp7A5YYlkIUg3BSZNJqRl7m6wHqBU88v
fjTX6eN09az4xWHcmZvukO7tK9Rz7wDOf4vu5cPDAmwhGzlY837HHyEcqrQsXTYsH0Gn29F8VVjq
q71ky2QyhGupG4cONy5kOGRD4vdBA0q2rKFvzfehIO+CAMoACqyY8hkLPQdcNe4k4Cx8NWVyzY3y
kBvZpijAWtQ6nqMlvcSpr8USSzf+ktUCApEYiZmY/BlojHWlvAHyyW2Ga6Mta68HzbvVhMCKGGQ5
nzWPcSxS2C7e6EXcqPAYbWnfoiPO14fyO2+0sHSdDbdLiXOXrVDYOdKhMzqyoNWpbmqfkvFb1Cj9
vuD9e83VD9WN6xBsX7cl+pElyl3f0D/KFU6ggvHasWig3NnWxq3aIO0ExEselLbybayjD7XWbhJT
lphf8y7IGII0HFk83Nfi63Iu9alRFo88HPB4McYcJF5+F/267CfX0l1odrVszVrGRtAed+ooCSAX
RsAc4ezr1o2aW/5UWIGru9tWyQ5l/kGdcm8CMcGMp11ssu+Xxa9a0VKaQv4TiHGGcSrd4px3wNfB
E6L+TvMShpNu9JjjYv2G4SPJRq6q9EiYcPUYpppGQJ5Gagj47Y31ms/53u3jjan8S2yPn/tvWYJS
TWAGZFaHZU0JoF9U52BXNqJTe8fG+i6jatAl1HNm6WiGbIXL349uvQqfBCh2yE2yZgdkXT8zmWcC
Sgx4zDfjNPlo176PMbGlZ+ouYvSpbKw7Ox2op9Bi2+bM08Ai8A9bbKnAZl04iACve/pNwP0ouoEt
x2fhT0s2bhxYJADmlTd9XZa0elCPJAmrH+wOIIMJVk/GT2J4ZbErUENBz0S0zOdxiemu3iVH0gSP
VE/AZjKWdaUAiFSn9wjZWi2W2axMiuB8kiE3FbNYLMnEPEQIjAoPMaFki1ad69FSlr8fmY1BTZZo
YM3yZ0bfDZdeJ8wKePSKWbKQWGmYJt8qzIpc3q21jgAMXv1nGJYwepXxJGubRSo6czdGmu7BiuBr
vAq5TXeI4VEcyQKgoz1yboCmtAmd+Bs4Re+Lv6ZFw0Po+EMEV0tbxYowK7ckw/WAJDr4F9Jto1BJ
8LEWkoLVHM8TgNKDlUcQYxeg4HNzvLxi29wMmbUDtM72sk7XreWPCP10IzFxk4IGEh6u5/FVZido
s09eo3mWiFl1M0crEbx2bdDaoRNWQqZ43/XNjcYftcpB842U12z5KfH5jTAK6J2Y+Ue3l6A04tJe
MRIXUSFwz8fRm83HAnDkxqtN3sd5w6I7c/AqAgwKFvayec21CimaaP9IF/SZIF7uSYeF6shw1eTB
Sq4Sxx+aA3hkCvYF7BicxwYknDp694bw8mauurMj4YKWe3toWbe81OsUANCZP1vbOGVBXL6ALpgo
EutcG48/WatwO8ZxArZsvDX9ZL41edigGd/kW3AhI656NJTHQg/GTFJMXzWkpUl5ORDGGaCm4haD
6taQ2UTJvuo4GMb6sHKULcMSL2tzNdJY8JIBRUSQMxUMiU9mOUU63uxmwtErqIUKI9sCL4yZvOPa
2l+WtrawZYjIVW0VwI5iEXGqY5DAkhoBv2H3XpcXP2jrcl+PLXCx6ubLZWmrmWATrZBAgAH8LIi5
T899XLtOr5oQh45Esu3z5pr2bR2YNB73wJu1tswyvtO07b3RYXVgjE7sNdH8VFqNjHdszQXBqaOr
gOBrzjhH9JIaI6IsMFkW7hVhwOtv7ZtC+spaMVfU35ZH8dI7gLla4c6iWczBLMCRykwfnepbwx9q
MMJM3Ef3WFKFvaIsZYvLej7f1YXOGuiES2s9GieWtR/dk4qjJ2kdQWZW+lr/lIJCsbb29SBDE5bJ
Wf5+JMfWWRYDQg+Xvu1T9jRVG3u+68jb/99qlhNzJKXJBlC2OViNCTCMxMHQsPZEVNS1ny/LObeI
RWswzwUjE4wHgnG2aQIaP7qspnga+EOl3rUybrjzw30qQvBdidnMrruIGO2v2N5rXRDXaEb4Nctq
Eed3OGYeVd1GlwOmrE2xeYQCWk2Zlgb0sXmIO/dRdZgkc74qwcF7CNk+HGSxLcbQsiRKI5QFWOfT
7I0Yf+1ysQLkR8EKiJclEsCnu86SZurH3yUA+6U3NkZUe3l0V2Ek9fKur9nwsRwhcNXHCh2DAxJw
VhnEReHFNqAfUZIikvWs6QsFMJSgkL0CfK7g1xlF4NZYyI917p1e/ywGXXIx/s5+nYYgeMohuYKJ
bNBBobfgVGMWSH/VkSMEb64x17H/1GPPDtow+uy3U1h6qvd6o18ZGzPE1NzsvZXo2OZXcYAHHkjV
kXjxvkVhjGo3OHe2l3W8Mo2FT8MmLsxLS5ZYcEgdZryqqULkyszG68dnlUVeAvgVtOJ7XX3jur+I
lT1Qg23y7EHl/Q4VoGemG4GqdYAkBTut1cpeLCtn0URT/kLbhfoWMDVO1dWxIuoBbY1o2ioO0cwO
XaptjdbcTDiW0ywr766JA5UmTiWSpLBoQQV1DczzwYaddf3cfEx2BLS9cnZs3a+Loi+8bNIIUIVY
a+4qpcTkHSHc9ubRHq5icGSGLpsLxwNYQl2BodBZYEkz3r9EyG/dmzUnZnB5z9a+F4Uky0K+Fb0j
Yn9fNPMIiXaoZ8JTx4tyNVDm8cpJ6+tRoT+qVAZucn5RYjri9z2pITGIDREuylRNeoWBBQxxXTF6
aUFBwgIMZidNf+YJOpzspAngK6oQN04ctPbQ/bq84jP/jw/AD2A+CSCrOEHiDk2j3hQUH6C1PPbw
HyNTNw1fkdLLmJPOIubfkpDARkEccZ6I8LTksjIUhzvfJdFbVXDuu4BADSke6CM4oQGP2nqdaU9/
u6WCWMHVZchIRoYGsS06TQAtm9oByQsvqSIv/mtwLkGWsJtV16ERWYEy0x6QOBU2tNn9y3b9p0Sx
T7fpkFfNIMdPnVsgdnrDcOhkjSxnl8PpKsQOKoep7hxRaCzGHH+noGlB92o1vqMtlxS2Fn2cOO9F
EmqC8NuaDicphFKqlSZmRHrsTXY1AGy5sa7RXOtNmj8uKBPNJqHl5rICz064IHL5+1FcpSYASkRe
GqC3XA+aWgMyHHvKqzZQTQVttbJLYFWXRysUrC9lQMF3XIgrzAlMa3uLP7T95BuydrFVOTqUiPAB
4xNEWBYK+ZU2TYhKLLc+JJHtm7wMlQYT6ZWsN3hVg0eihCVhzN3lJqfwGD0GOr9Z4y7NR2T1Kr+z
ZG/8dVkI6VH4xC0vviOY7gxNWcEUTQO88FP9zU6Kq1bXkwBvqV1HpF3XS0ByZpHLG+J/BP4mRTsy
D9NWWMVVnGD0Ru/VhlxZaX/oY3VfsXeatHdogfWQxbxuS9WzWbG/bJyrznhJTQO5Ca1Jootsx6KO
CuQVAIDeBFkLDsD5KzIjiUdctZUjKcIG1sBMZjSDFDVJAwWM82qSbRhYDwtTxme8er9hoBoVWHRj
2mePMgdQt11cQpZCQ50XIDZDP0sR6DHgjYnnxMD3NjwiGzhe1SNAh1A6wZV6dqvqzGrLYhjgVyYg
vltD42lGFlgKlXS4rPqvP3LEZsYpUYaoVHjn17nrF8Yn+ACHCrSRmIHHSJjZfTddEl42kWVzzgz0
SKQQUY+OXpmKAZEFNsxNAtycvPT79jPTKk+1JL0UMmlCim12Goy+OVAkAed69BQrj5Z7k5AnvOFj
2VtBpkwhNB2syiKVClkWb8NZCfCwpjPCgteKYwhLC3IE65d1KZO4vF6ODnsOVHP0XECihkYKCljr
zI3DYQZ7MU42ks4vRTreoUP6x2Wxy89e2kIh5NIqLeVODbExJjnKtggS4BdeFnEOJrNccwjqgNNH
UDsUS3d6hW46O50QJyjXCX/t2nfaHwzwQug7AIZ31a4km3kuvCh7cFRQRmD+wTzYbG+A+S1OJY+0
1eN49DGCnjvAtfOpwIK59ViyKWzyA9IREiGrWj0SImi1MNCeMLRYcZ5fGd0YtpOMwGTVb2JEcUlR
AihOHAm0sVUF5TN8GVSo8R89iRaMGaeV5dVX9XUkaPmQY7skRtRkLQQNDfVqDix941WzJL7rXAgI
F9ADi1EU8PCoYpTXFZpeoAMLjgQvMAVMDTUjG+AH/vW2nIoRPIhip7GRG9h7gFVxZI9VQLWnVIbF
c741p1IE36FgspRyisU4sx6U2WsHOo82+hrMz8vnal0OMoyYcEGUIPYNO2NjZoWF2IdQawsuyl3n
2mDeGOh2sHQuUd25e8KilvkrGJsGyxZcve7kczOSEXNWMINkejIy37GDZCGky0K8AnBqJW7j/Ayd
ShQ2q0wMK48LFfeZNd/afedRN364rMFVs1uqbP+TD3AF2+b2iBGaCYtSjOKrqgbylhM72kY5KCMu
SzqPHVG4QOczOlwxxYtxkNNTVDR4umsTQZk9r0GZsePUuCW97rUfyBFdFnU+HopxNaAWL/09mGo5
Gzphfa3nTmkhbJx87X2jPo2e/lD7zQHdGrnXBsN77LMvTTZM8TvfeHqVnMoVNkzr09yZwOni296z
c1Vcz/d9ON/xzYMGnlrbY161ZfjXNqiXvWczHH3+1m+V0AnMEJxwu+xV8y1PDVy/vq4DGg5vxo/L
mtGXL7j0hcLJdOq6AzPJ8oV3yTZ5bt7sMPGdwA3xBYcmHJCJm68cT38E7kyyNTwp4s55CHOqIuHy
mVVge7IRHwAypq5706xnLduT8n4ycFNIjHsl3D0VJlxCqarHtTJDmF4EGrkxzDAGO4iKnqtuEzVP
XRTOjcQlrZr5kekJB2oaeFalKUxvKRQYDBUsG8y0tcejnS27Add0aVga8NdRGVuoJE+PFHo2I14r
No5U7Y2K4WHAwZs48ItiHrDuIGs6PG9/wrE6lieYd5WCiTbD2LBf5S+UeIV6WzafeP35bn2jTKg4
bxzm9zJc/jW/i6wcGm3xcgBaq+A4xmZUkryIYDHjHYiUlNT1ijjUwMSTo29HfXFk9cg1n0iWOiRy
gChdifSUbgrokgnYwD7NN0P3adevYyQ5h+fFcqjySIaYOGpNvdFpp+Dm6rqnuZoDMDLzPP0koHrr
Ju1ea8ihMYtAdQY068dhPr+hf1biks9LocJXCAaUFWmCz8BKh6HxG/OrjaqHcqw3GgY4Uv11HmI8
Za4VJd12nCEPXEjqN2uH5VgLgkHltWaWbgUtWGhrboFJM5O3Wbs2s3t7lKCVrVnRsSjB8dUVb1q7
x1JV5B27BkDZdmCwH0a/QbCd9ztbBiC76nyOJQqerjaNzO5nSMyn56zdjqUf16WHAklA+UtvxyE4
Czv173Oep4YluLwRQ9pkXqSO9ksNLC0ii7lkihQcnFNqZt83ENBXc+LFQA9QBu71VYre3To0jOi1
AlH0XJmPl6+uNWd3rE7BDSh91DTgNYcbMEBHMD6RHOD51Pab5GeW7dO/z8osekSOxEa3BRDlBXuZ
KeaNChWmGZe/BsqRjPEqQMf/NUjX7xP4R4xgJHobcc1eTgCds13UTzeEklDVW8nrYi1QPl6NYBVm
SmO1NyBG7R+rYbmUjE3V+DYaqy7v0v/DpfxZkGAeRhtNWaxAUpc0/ljQ0EzfrDnQ7S34KgBuvTzh
TX9OAsOUda2s3k/LHJUDOD8NsI6CO3PGXqtnEvf+UJjDzzIn43YZDd5XjQ3qClZG/FFpSP8Gorw2
4B2rr4jZDGGXScnbVx2bpmOoB02cqCQtxnz0ZDQKi6V2l/R+yUmQZM8NpmvxSiAktFNJ0v53v7oY
0pEjWcuBPZIVjSZP8x6rtjsWAOcLMiFszl5aNCh37kdpTAGWeaBmvm1168MGvZiKXh4+Dtcq/6U4
5Qbmvy/U766W+JhP2xqjss3S6LHtMsCDg2DV/etJHZi9hR2GnSxPArE5BEJiABdQgAIgn4SuqVS1
PCPmEmOU7YJwhpWkydFCCM0o6s+x2g/dplEONVLFquzFIZMkHGMXDElZUkKS48Z+bYdV81yr73Gb
hDXAMy4fsVUHfLTfwlmOkSYjYDtEtr/Y0A4j4j5mxQDA2XilmfoKe9PS18sS16+yI5HCoUaMpNiz
hUNt2tvM3CssxNClkll+1AGc/MGdkMVinkTosjuX7Fpw+C6o/Bi1oVOjebAZbBYM4f1bMWthD+yr
qqMeWxKTD5Pjde4VyH0k8lfDQCAnmqC/cdUzdJDWmCK7p2nvm9o1rlV/sJgHBqo5u4UzabpPJ+4x
2viojb41PA/ulaVipklGT6evW9afrxBUT/KJNYOOr7Dv7qwPNKVvuyDbo01O9YhPESN6Q6Dua/97
4yXeL5QH1U0eKJsidIP547JGVm/gI4UIG6K1M+/g13p/VICtrA+fSJWAO6eaAqa2e5P0wchMWRvZ
6ouVHEkVXGkRx27Sa5DaBbZXbZLE+/np3qZe9CPBYxWtpFAAIOI9TO9gOmGv7EbZs15mCIKDTUFi
XhcApPfzzsN8mT8kQd3IyBmMJdY9N/f/NtoVOrxrpNmzwoQUALWUIdvpIM+x9l8gv/0yPePH5Mdh
8xYpnhOk++qKh9Qb/eHDePyu+emm3hf+EOSB/BAu9nXps4Q7lfXUcPjyWQ3L0Z1pFu3kYzBu3kV5
ovl13I0vCne0Rw2Dq4NvDwm96lmKoa2sTNlPomUENHTR5H5h8j878F5zb1RaOtSLK5dMD/MY0Y+a
5+21xvsIsxe22T+ClYptpiRDj7I+5G5Qu3hE03RUwD/VNC7zkqSN4hA0ne1VnJl0B4A641CDU9VT
W0V7GFVmPSHRkSIvDPLkXZQ0zlvZD9FV3sVT7KEJkQU4V0iuG8N8W9lusc2U0d32VV+HfYQeIRSy
opsSUygB8thoxSk7+tIpJh6dlhunV4VD3Lsag1bfQJLj3JRsbhjYPx09C9Sa29YmMkl1ZSRjvjEj
Ww0qNP15oHUgyCH3xkdKc3Zfw6rLAGSzDQrdcxXMtEyelYxbXpGUzj0t+AQoCdKx3rPmWdvRxjEx
jEIn67sKtR2SNq4oUpBMjf3BbVTDa91k3KEnK9qD1sAGNmEGhgbmut2rM/PpGaBE7b0zjsldrwLw
Bd2M2r5VQXRXDFz9lbY62kLrTv3gVHf3vErwi5HTlZtmsrHp86TRfYdq11WcE/VBjYbYCFD+cl64
yulN0k5WE7StWv2IZlDhRonFoqV739hp4ItG61dcdOSKocXI8vSEutUGuTLCvC6KzBLVrJyNHupN
+uQ5mQ7EoLGPH0ikg6K1borotgdX+j0yAYnhWa1TftpdHPXA34oxkd/bnYK2pNZ2dyqpyL0a5fQq
KQ3lxrVoQf1GBaJvZ0XTL6u3iF/PWUW3l33j7/z8pXMiPGXJjFRkruKc6DfpI4LNzyy4z6+i4DtG
hLf6Xb1Pg7fhYO+nTeKBi04i/Qy3Y3lG/HGSYttdmfS1yxcn6Wy/GLJ2u+QJE+vzQ+XpH3PohNkD
5pjsa/suAlM3XKZsjnM1JnExFgdKclR5xfrWVOAwkzjH6mlNPDq1NxaZnTBiw7cyc77nHbu2K2ya
WU/7y0s/n4wRQknhghypmw9WzbF05Ttl6GO+TvDsdaKFDxcPRcPr7CerC9Qs1JPPuB2BJ2ZLyrJr
PvI4mhUuxtFIiiJL8Al2WwZqYm5y8jiR8b5jD5LFLt72zMoWhFP4F8y4i4hlaWvYZTMudMtav4kM
AHzVjvsN9M1k0xkcN6ClIIRXkORWizb1FA1pubquJGmbtfUiFfffVwgqt2lXO+pC+owK322kjFui
7Ody22ZDcHm9q8HPkSBBsRxdjApKlb3PWobkOcu512TRtakqHyx1PC6FQ1qNdNElaiztd8DtF5+Q
SpG75kiAVkaHg4GbdXIC2I+G64fGeCgGfLzJZGDQa6vEpO0C/4AYGwkHbPrRA47QSWfFgpCmdl+V
jXjGfLM603PYmynrS1pfH/Kalg7SenQBC0+iOAEvbd9Bo5b6HI+YlD2YGHZUWOCgCc8mm7QNUk1G
zrkWQAGUV8OIroGeE7H0w900bjitenjeyjNZdkhoGjZIdly2llUxGBoDvjqgBM5A72I2lS2P8GCo
512X46ZWbnT667KM5SEnHkDzSIbw0EMmAcRlOmTENvi7tY7yfZvHUXhZytoBO5ayrPTIIqJpMlir
QQofMDKVt96AyYNBD7oxljwm1w3CQIoLDQgopIottqlVNZmiQJQ5dOE84DmBC9NpZ7/t6z3wb8AG
j6xl0jkBaQzZvbW2Y+h+xv8IPBoR8ecyTItV5lIMqpVrsN3n0U0VS+6HtQ07EmELYXXMqrZmDCLa
akK7dxMMaKy/vFtrlx88xn8qFNzhrLk5awc8yHPlGoc5AIrwO5rkXzKl+NQiOJGCeA2V1VPXd45Y
S3lTXyqdy2cdGYmZ49WFwTNE5t0uMrxc23Jgg+r+rPvWPHqtBm5RGejv2oah2wncfBhFRWVVcMiE
TQpGFbBU13g0YY/lBB5ayY6tykB7Ibq+0YKNlojTdY1lO7t1g3UVVnxo9a3Om13T/Ly8Z6u5QtDg
/SdFOMgZdbqCDpCSYhJMmxJck/ljCw6anjg+OIu4X3YdmIqGYOjMZ7erlODyF6x6/aMPWNRwtH1R
o1laXSJko/n0bo1Ils7pd8Vodir4ADsqSySsupQjcYKRmqXGBx5hvVWypfw1Hd9o+sqZJOO20uiE
NDOmXTGj6KJYaAtGGZVJqdUMgeDM8h+z6vwAMkNo2rln9PE1J995CzJUQJd4zEiviF56TpmnHggf
B8+1ksxrxh+No92koBYlVBa3rCUwjj7OEXwBqOVpGkdQ+TB7bXqYnS0Dy4vZ+5kKrgAZrsG6HQOY
GPNPtoPBu9MN1jGNG8WLKgDn7jWVFnRKvSdVJUntr3qfBf/4/4oRDHkk2gBCF4jJ+Btt7ticBRPZ
OIUD9A9MTSPHL8PplS1MsNyJalGbcEhUy9mnTlx4DlrEazrKHKtMkGCzcWI1ROsXDdovuXk7AtC/
AVrf5XO4qj+0wi5jEOjUFu8gTJc06UKiCqpKvCTztyG7jacs6KNvGIjDBej1eNdeFrl6FgEi7WhA
XUV1QAj4ioYxK9Jr+B5z47QO6HPBenMzMW1zWc6q/tC7bAIRCzQjIrpOjsByBgYm7nb0uM9knyB3
CqCx8LKUVUd2JEXYpdJZ8GZmKLA1m+uqn4pNTJUPmzqzp+vsoY4BwnVZ4tq6ju90QX+lFg1KsYQN
ZqZiXrgO4umQJD8vC1m9XwHIBrjBhen4LFRWY61IFQdSijz5wP/fap2z6+wmzKL5pjIN9Jg9VIAm
R7qmltR0zmWjzQxQcCa62tBlD2TMU9+BOSN7jJ1lll7p4Al7NRgMdg1iwMCep6BrXSDdlKDGHbYA
iZdNiS0/fhLjLsIxk0YczB+hXVsQDm40DEHNmP4euRt0g7pTVHdjq6B4MM2NwoyXOR0wFQ6eB/2Z
N/H9Zb0v/upMOho6ly8A5LIIz1RhoGIGLRcmbeOvIUErUi/r5zw7flgfmjsWhDi8gXAKT5Vb8Hhs
DR4B2CoKSbJvtcNYhax6v7yO1T08FiNkhMCsqKB+DDWqr40exi/Gl/oxBQAOIrE3bS8LOzsRwpKE
u2asEo2aMWRxe49Hgpe2d64jOXXnPSu/hSzE32gWRA/z8hFHEUvfzenc9cAMRMy+yUHy4yE3r/k2
1aYtsjC5V5lDHhR1jjGCjI634PJAQhfX01VfsgdO50nyRWeeZ/kgE9BhGGfAP0XkRCONBgI49cLv
9F/Al/NK5zZSlXvmDkCwGyVO+zxi/C0NUc0CM4GYW9CxwXuAnS4QE42GcBvMU9duZKB9rq3bD55a
2QaT23c0nu1b3VBvMkexg2zOJadjzXYJhgMxNWoBL1REjx+QGm7SEY3qBXM9TvZp85k575YtuTnW
NLsMazjAmcJZsYQjMtSdwcBBVPjEGUJ9LPaWmwdJj54v4yMeiX/Zen9bjnjmYVV4tmvweIAjP7Ws
yHSSkUcJiKgba8Dzk5eGilxWSZ4VFyzmyJZ3aJkc8yo5AK4cxzbNcuQ30bo/7207655HI2ezRxWb
fHM48tK5YszIBZIyv1LbqUrQP4Vf8npq9c+1m2pBEzXILPcVncJ4tsoX3aJmSGitPauUKL/aqm+3
bqbor2YUtbuCTmWQJWS+TlJSAm4vitD6gvrDPUMB5K9fxTC0Y+ULjmPmOs+yDsqnmH1odT0s7Pt2
lISNax4DwY6BuuYCqCu++/UkH2PbTaHycvg+jNZ479j8BSOh0rts7Tohjuui1A+QybOUWgYk4m5Y
4D3qaAB0/lc/ASD4MLse8k8OCXX7ioOespEFP2dx3aLFJbGAQTXg0YlxnUOoHVmYEfAt+jKzp7FB
qQjs2V6uvKjdTpOBHZw3vkAe+j5VpNYQNAAX9NSGWc2aEmDgODL0BWzEo+GreRClIc09O3s3CoyX
7DTr1mm2lw/P2n15LFeoj2Z6UimDg3U6Pd2m9rgbJhmbxJo3WEAWoEwMr5yBMXV0oHpRYQfBQNv0
+3bYTW250B+gL10Sja+Z5bEowfbzOsZbCnPqvhNTf4itnWMWnloW/+DfjsUIvjzOQBvXJRATacjN
jPdj/u6WtR9NPxJpCf/s1bkYBgAwEEYCDAMVklPDWODC+mqgOGnGznYf3cz1XPOhi54YOvstGVKY
vmYPFub7Ee4bqMeIQ4taq+CNbSy3NODoqea5zZM+Y+dCpX3oo1cQwirkhsXfptovnZ2R/+qbW+TF
AP22dfhBJT86pfXK5qmYd5UVpFX5eNle14zp+PsEe7Xa3sjNGL4eDeAI3/m06ewHo/+iqeSqPC/J
QfEYNwC9KhLdKJYIl5jROb2WmNBEpydAo94WE+DQvDbBHEX+0FpTkGhIm9EqLOrOY8Vngxpy5Bft
d9O4ysfXyhk9a/RV60GadV0zieXFCdQfwKNg+OLUJPIRjcc6r2DlOrhIdfu+Mr9ToJHmGj7EMTaj
jN1sNXghBMP+KJksIxiCRFSVycBsGDzmvVznAaNnFXur7OeEf2PuQwooN8Slvawtau00o/8NA9e/
+/FEvImh0CfTLoD5hbaA3ahFeMnkd1ZHJHfZamR6vNOC12A6RhrGxaba8jCpJWw5RMIc5RrDfc7K
jYW6Tb6rlaCIy6D6eyYtmJkL8UDRRjJWfLC0LUBoUEsv0NSooiECTMWo8qsSv7h2mx0LWeLCo9g7
7xu3As0eNKl9UOqZdGuXGyN5HsxdGd3psuTyWph5LE4wl7adzDidIM4yMeVkecS4HcF55sqeYmvO
APgmSBlaQOJCDeJ0WUgn4wTXuLyMnIOvbt/Nj0mbh0T7Vshm0lbOHKKP3+wSwDw/K3SAHhIdKQSi
0uzJijuQGqIHvL6LNS83MDAsCWlX9utEmrBfQ6bHhTJCWp7t57YG02oC4AbiWbpXkk8D3I0g3rzs
WFcO24lIYc8y0HFWJodIvTNClbJgqG9UmWGsbNiJEMF7z0OWRd0Sm8ZD6bXFFQAgoVbPQR+grGdZ
X90xnCfUSgC9hDbsU+Moq4wUZFp0WDyl435Ib2lloFcmMOOQVM9pRvwEY5/Vj9S6juadbXTBQNBH
qi5jKIDIpPGmizD4w0LwVKEXGX1DfIMALSdendwN7t/HFKhY/PlcQTW4blilp/j9Dr0WLtrRtG5r
t1+D4oT2j8tbfZ5mB+vBsazF/I7cQeeAuWlegr6o/arNoFfeUsBTudTLk706hV26aYxrVwv1+p5a
V+VU+a3+6JrvRZlsG9mNvuZ+j74GJZvTr+nVIhpUFV/jQs0AuoxvTIzb56rX871VxV40vLNu3Jrm
fVUGw/gPCHAQDxIyAAwA00gshCl4qveoGi3KuB/dZxC6g3j4akwk8cTq+fojRhzZUeZIcfsUYqr+
Pe2GIG52VVv9yyE+EiI4RJMoCWZMF1Uqn70beywNMZ9y2XrWfNOCk72w7diuI5bjNTYOSGku4JXW
VxHt5yIYgExqF8GYH+r6bXy9LG5NbyhP4An4uyovbo9KVbA+xBPO3RQqzs50nuZ/uIKXCsj/ihC3
ptEHoM81ENG1N0X80VqhUklO9/oqLBfcsCqSTWKuaaqNmRrKgOtj3k3kTc2uO1lzxqoIZCWtpTKA
9nfB3yVc17rZxir4+ARujCm/Bgrm5b1YS0qCd/yPDMFJTabWxj1y9HBQ7/MnAdAYuuPNn3r6yfhD
gWvRZKVE5vqylvKUuzzIxbRh21BGagBbA4BjH8e/UuRZjG+Xl7V2UwD+7z8Rwm0bofpRAn+s8Pso
HJQd3jRmkFW3sxvqvSQ1L1uNsEnuFBcJYRDlOsDp03ZD+gnSjMvLWbtkj5cjbFLOpqHXVMho0wkg
ZB6xXyen9FztYMgA+xbNCJk32MMfzQkXiWa3XaQ1EDXU3zXlquh/NWgrjreXF7SWHMHDQ0MVxSYI
ksU38JwNaEdiMLsJ0R0w7DGApHkR4we7xRCB3uFh3NwCmGo7mdFNYv8fzq6rN3KdWf4iAZKo+Kow
wR7n7Bdhk5UDlaVff0vG/Y41NCFiFzg4Lwu4hlSz2exQFd5FVDCXy3N661/AmEgFVQJo6uIXEOvY
T3+M/lEloAy9oOHP0trFsmjFi6NmNhZ6Y6ijgNfRQgqKnN+JvT1H46DoeHDVsYvphSx+Mks/Cy5G
bcag7gtBCrnFU1xwf3x602+4EBfFGUdbCPpCznHNXJrqoDTAZOI0z92P3Cc/iRf9LtF47MTHOnXC
3+h1eGmvrMtJgM05GlDEgY4L2sugVPv5Hl8FJWnd0sDEPbK4SMvy8nbfj/62IXG+IoZNFAzkySaU
3mXGXKvcrEYaS3iX0BilZ8xu7tEQDLpDR489BHmJKHvJOR9rwE9/ulqToRa1Uo0BzEZLnCzBhGp8
nLtTQgRFN97erRb2+X5f4fQypMa13EZGQArR040884iZyn/4QGsQlbGNqtOLAiGxG0Geyw5cYr8M
taAXluO7IASLjPJCNQxLWP59tZDUkOacpLA/8FCemrJzCcUQ2RD75aIo2CeCfeN4/jM4xlVCk56E
kgyby9TfKTpeY1VxMsmn1oWFvRTpFIrQGPOr9Q5RSAE01fDq5AdY+R2tPoypp6t3afexbeuc94+G
+iG8HuJavIDYqoipZzZF22nqXoJMdd/vssdyP13Ux8a3jrYrPcWudhOeIBd2Lb2DXNmv9snJg8Nx
Gj8UFL++m+f5T2G2WZYDo+hMCQquDUVS7KLVevQF7rYX/P2sAQQ0LjIKEpzxTX3OUXYesV4VVKRa
51FwNeTmvSkdt3G+OxHgLCRoqLAjbGTflckclnIVA0dRPlLTRy5spi9qkTi9cZebgxvpgpfD99ke
DFCuEZntQ/43UYIAiOTmPXbJa+M/YGR53/mPv2xnfo3vf+WNH7vo94zRKehoXnyqnOyifAh3s098
5Af3omru93N6/pMYU87koVSmfNnswAf/VG9fNO2brXuFiKSCE3KukdA5eO4RwK1cDcVixjNaCvGi
CYJ4Z7ZBeAUSuGQX27mOJ2ld/tYiI7yPFCvaG52dPm5/8++UMGefAKIS579CnpRwGAz8isGtkY4B
64nttz8z2bmdvAqUMDGOzaV0MAUHh7vNaG5FLzlGu0AFeQ4b1HZNcjmGJAO9aiALkql3lvk26h6t
BZ6Qa9UrpOV0rRxvjl6YujCBlA7gqEVUT0ElAxGIUjtEw0uv3WmtIBTmntcVIuPqLS2AXiwBIjH3
5eDPqgkKkJug+ofKOywIyWuUhvHCRzB1vjRtjIpxygAkm25sYB4Tg5dgx0WSte4+Au1ejh9H+xra
Nds2w/92/8FqjOEGoZyERrGsT/FA0O/U0q1h+4Xty4Mggc11r18LZDtulLCGQHEJJEnz0Y8/zLfK
9Lq9GP4xXGEwl78iSRWmaCPInSwK1qWfo+jazo1vBzG0K576xJGmYy9SFBatjAmD5diU+0nBynp1
9kDPCAt5D+b4rwObMwPRtHMDCewi16vFQGJyGSUPHRgO0knwjOVaO64MGxJUyFWzlK5VnZfBbAOD
ggliThwLshCQEY6QAd3+UlyzWwExl0VqF20AskC0X6FspUm/QnplE3+uHSriCuG4DAM9j2gdVRXM
bbHs41LQZZisDBGwD75e3PSx15oPfXmNXhY01Zn531u5AeI0UHmjKIeaHOMvkggT/lYaI4GWnEzl
NtNf87+PPlHxXEEwexejZz0ZJhSC0uK2VW/r/omWmFy8UTvBlc4ps54jMT5ppEjhoJMEKafX9Ifm
1oWTOf0zJjF34YlcO3RwNSf6cYH496a5IInz8SG/ZwJL+aRJOH/sLQVeuEXETOgYYVMrE4jWrLFD
A5SigGvK0fbWhfyDZk76XO6zyyJy54vxY2x2quC8cUz0DJe5a2iHwqrZA9cKbjP5IaGuZbkaLvdk
OmwfBp7bOoNijAb885ZZGdhnK/topVfjTzRgIHRymu5Koc9KchUGoqFnzkk/g2SMKJM0rbASrA41
m0F5neV9bZ8KUX/K8le2vh1jQP2UNvNkYWG28nvqfxDJC+x7Gt1n8SFQBSePuyILlN5IXi6FStYL
d0MTDQPKeRqy8T3KvOiBD7MTEbX/c7w9hB++cBg/nA69StIWOOF8o+peUD32orh1+RPstsHg4UGW
2r7OBu9Fa0WlGkAyBw3UoEH/IKJcMh/AkqFjLSNjzaYYiIVMkTlDfjRUCJjb1IdZSMPMhUAKeemm
gbIB292LwXl9wKIXL/W7rO4NqHVtnxre915y1P8DYO76qFXUcS5ypFzzOxn3lJremNl9JArteZ97
DcOYVZ3QHlEL1hE1x7l4NqmTBILzz/M0awjGoqKwCTFEj5VY5bMUv0EOwZJQ5ZpSJxMRqXO/Ckj0
LAt9wejbZlZjpdqgNDJaJPQYY1yV2+SieQYRArOYFIFrWS6dcC2uBOQEK10QkXM/yGoJy7+v3gB1
W6FQZqOvRIqeYu2RTKObDIIvwsVA0+AiMofKGpvKDYO5oOmIno5yvJEkzypPJP/YNl9eXIJmiv8g
FvNeLSOrwybVKkBU03VrOZ3taWgkrq6odOgq6oGvQXBeeL5YtdDqjgYBVIrYexTtMgoqF6i6RdOO
Go2nlnh+T55knOCfqZDommvUKzhmfa1uR+aw1Eut+jQoh9h8Nok31QcQMW9vJP9bfa2LuTyH3qJ9
PAOoG9+NZE9Rq9AEJsddC7pfFqm4pbuNucYsaucQs0LVm1SPQ/UUR0ctRA/4Q5IIIi4BEDvISbuh
y3MKxy9Phz5/xAsmq9we7bvG344RYxBV/VoRO44dqhY62tHs7RrRi5SBnbuOfVs0dcT10DYKYtCq
hzoWa3EyFHMS6E/DxMG3jzov5mvlDhqiggiR63FWMIylKW2SKFEIGFW+k6RXKhpi5IZnGAXAJ7ZQ
3ENgf35Uy8RIimBpbqRz7lMpurSS1COxegAfzKU8XI9Fgf5XtaBgz2sEZTJO3wEyRjqKe+YSA0Pc
7hw8KUhsWu0MV3StXOZ7pP89WXLQHQUGMwfcrokzCiA/K8ls+LGGXDzJyjXBU3QgBgSkui+O8f1j
cQQLlPJiu9SrPpBJ2kfXyp3yTlwJ436O9Hv7PPOsBgSsxNYNlNHwmD9Hb0luk7nAYRutmxID+3py
GCQ0ER63YXhuA72jS/yALD2oJs5horYnc2PhBJTKXg3+9NPNBNaQbQxOR+IyQfwfiM5kVzA63EEN
HSBd5aLt1wONTmC+aebe1l1QAs/FfQJCnkxwuHkHYo3KpAHDiaAzakFtissYQ7aV9rK9Lu4nMnEQ
cLYxUsjmqmoVpBRzhQPRgiWrczWMX+7BJKZSl5qp0bo65HxybxuTd18SJCUUjGxhYoONXEYygyMY
TDdu0GqYcsfMRgJGzkqirhm31l4fVGjrNFV8JbUB8rxTruy3fwD/WNigzF2Y+MEiwGxrXVhUy+YB
PZA3cuSG94tGBJ6h17Y/X8dufAwf7T1YlzFM7UV+cF0eRREv97uufgAT8WYhldRQwQ/I0fa8XN+9
KBvIqazCYFcQzOEzJTmXxgSl8nGn7PSH6DGKvN7TLui+uoQw3By55oUbvsmvtYOxud32DvNuP5iU
qWPMCVEKmyHMcwy+GhHAteSDzJIzDw7RHbt40v9++gTL/DJgNuuJjrsmtRYDpuWP3DxS663rBIvh
3xorDMZcKCbRaTUDQzGOIHdzMGKPbt3brL2dUfppAq+UQILq/8MW4pZCC4KBhzDbdJ1lkkW6DKAa
wuKM+BQONLAzR8qe1UIQJHO9wFL5R+UO1Tt58bCra0LOSdfbdofMWh17oJsC73hLnShTEfMLKfK4
7noFtvyYFdhcFlkwUtiGXN1OmtcOT6kl+GJ88/vvfLNjZxJ4Y7Iiw/FSaLGnqeSY1g8kSTADAkXM
SBfcDVx/tjppzNVADdqiaRgLmmJo21hvc/0a2vNdXsiXcmEh7sOoofb3Qy7L8f46YYwHQRl5jJpl
FzsZ84rgXLNdEt/1PfoM3v7BEDFtjiKnjrCJzTC0mEkgrTEi84MWSbO9rqnbW48YSuqDWrCTPNP4
HElCj4+CrmfGDg1QrMUkX/wyVKpTcN3SDtkA9Xl7QZz2HqjaLJNP/w/DWGAcQYJFrQEjHYKr8ocE
6eR7rfbT0+DpYJxzclEb8vIH2TAMDLLgkEUCZUlgn5t8KetQJ1ImvNXNHwn5GDHMQoObRqS3xDN7
TCJjSg7jpcq3SeGu6YawjvClQunUhUdZvc6GS7W86wxBdxI3GlojMdYno32ti9rFJpRqP9f2ZdKi
m5cUxLPVqvOUHqOXJd2rGMMcm+Z3pb9uf0LuhmKF6G1E5gun63xDu9qa59ZeNrQGE4ekeSH1W5zv
8GMbh2uQKxwmfrYkKUMnjYwdtS4T/VJLdlIjiIY+Z1m+GccKgwlfc2Wa0T+HGF2+M+6UY9RD/KP5
g2xOezAeWtOTnoLQmV2IrXmi7CTPc2lf0KxeXToaFYlibOPYv0w2SjbjIRknJyQfE6re6nQtk3+4
aTCZh7ZnGQyIEMg6/3CmNamDEmBDc1TQwQNsKB/R5IWqSDSKexRQtrHQio++Np3Byae4UxMdBpqC
XCv5UcWP0uA31Y0uyotzLXFJwmA9CKHZSCfrwgaUESpOQiYdjfrDsvtfdhaDHI0KWpVESMyZq7Mg
noIaSIN6Z1s7LX8hjelizMbftnlu5KitlsREjsj0YMYhULAkal3NfekQ6IP0RfJUNdp9nXanWAb9
T/SoViDDjm513G1SPPuD9aYh/zBVIOYyYpALQiilj47bP060CUtgvQoeukynhkbx2xTqNbZfaVdy
hKfr/TbKcqy/HUkolSzdkAbuPcZ6QmoPqtKjG9Ia37PuA2KzoGWX6cVUucPvbShuUQxlsf+wmM8a
5bgH8XbGE88vXvFMv8HUB9ghvbD18AwBEaQbJG75U6QdzHuBaBi7RDqCoLueLaZqU6IMVrockPGm
VG4gfu5sL4z7pVYAzJdKiVRNKTQpXWpkXkJOEFTLKNn1/5LVXy+EiRlMtexzowOOHr/H+ezoSGiI
NG253mS1lmWtK6uDsjYGAhaMqcudJH0dq9BNwT6fdPeWqDGGu2+YP9QMtMVq6C87xxrCHnmGCVg1
KLIB1YD93h1FjQ5cC1+hMBdbVDcDiknw/BGOrJH4beCg37eTb61gp1mP26bAvWZWYMwNByrdgShL
O3UsXwUYL2ow4bSzlccIei31gcZv23CCHWRTNQWevqo+fQYHr125H5HlIo+h7G2j8O9thMVLf/ii
FMasSqsmMkdkubfzS3PXv8p+CH1xcPw6023hNLf63njovB8gCHa3kblByRcwm1pWqjLtihLAjWTt
ZyX1qNFeBa153IbheogVDOME9RiVxSABTASGtzgCN+/LNgD3XQ1i2P/toMm4PkoIRC+g0Q4OwA+t
kx1aHwb7WdPuVfoSoTNWUi4skbir6LOxjm+MetnQUoDqFW4zZHoRjXtpHDl4/HjE/N2B5Soq7jsD
LxD7bYyjRaOglIvHHswZFNJViTY8bW8E12BX+8C4SgmU2HoV4if1yYCn6kNVYe7vvpb22zC8D4oh
e/Q5o08X3WmMweZVm/dlayDXp3rxBMbAeRZYJvdltYL4dvT0OLRKPL7d8Dr1R2hkOMEufpr33S79
jTHDVPSwEgIyRmqUoRzKS4tzcuo+imNw0V9iUnWsnflDdqDUJ+2295D3qdYLZEzWDlOjzmMLe9i/
jLI3mneK+aoP/3B3rlGYCCxIYA6EYlVT9mcEp1SYOu343tof24vhORLU8/VlNBOMJ6wHM4aySdAZ
tMjIutAndXSouv49YR1c4wqE9VaWWsmRWgOEYvA2Dx9s6tmQja2dJrlsysSrQES9vSze3bZGZGwC
Kno2RvmBaNCdBuVEFWdcdabiNPyGVLsATLCHrA+z7K5XpwFgUvmYdt7YPxHBdcbrBV70O9GQiyIs
xjsYa2hbSaunDplAvW4eTTBSHMZJ3Zl0frVLJXXSAaJrY1NPXhz26oVlZK9DSZHAT3w7/gVty5Oe
Dzsyzq2gXMuLilB6RH7XgBoCis7nkYqtdloE+QBEyb2EDFcMCqQA6ckfieG0ItJp3javsZhzV6MH
XoIOMAqQdIBKAmhj61+aqK+Vd7jXIMxGIyQKrWkZlitAsDqEildm/XUupc78T207n4y0eApjfpbN
uCLss6ImHHH1KZ4+pk5U/Ng+BNyPs1De/j/AstZVyConVmibOQBCBf3jGB5bxB2D/rnUfKUQ8ezy
bhbQjJlQPQRhNvl846zAOkub5HjUliaL92r4RYfd9mJ4X3/995nF0KjTzDAgeJGibBGSxovMxxYK
ddsovC1boyz/vlpFgcJxkGOI3y2TY6/vAxnEDr2bWXjhPmwjcdcDdhOMDuI2RuHtHCkb8tKylqm3
SUvAXL0jXbBTTYHf4H6UL5DP6Gu9HD3o1UYGSICxb8vcR5CC3l4G77yYmBIgKkwZVW1mGUWNqYwx
wTVF6GEGyXLhFON98i8dbiuU7zS4OiplKtahhrtc+RjBZba9jO+aDLiiTND7GdaiTqrozDo68G2H
5QQEA+WcQjsit2B0N/G4T2XPCo5V/YITmrb7KozRYenpeGVu/wL+Rv73AwymggBGc3CLLzmARdKs
tpzAeCqb17E/bsPwze4LhnHYoRwrpdJgnYoSORbuhuzBFoUu3EME/TAVaQUbTYnLb1hZXTCRBnxw
SNAUIKOrH/T4KBfHsvETUe6Sd8ubKyDWJ6jlFCYR0mHIIqrD1TA8TdJBa1/r/KCJ6mPfVZ0WC1mB
Ma5BK+2utinAINkx78wH24mdKXGMyLk9OS8vs+v4J983nAMR1Te5p3iFzDzUhzIpsskEcoLa3wzS
ryoWXOPc3vD14hjzT/IhscMREOSmy73mXnKla8ml+/DK9KlHj5XrO6MfPgxe8aSdQk/0nuU+yVY/
gDX/wqqNaJZgM9a78hBel88gPGyd5OEPSCVulbuLzqud+kpEyyswIJY0slRHrZksoKp5BCZl1AlP
Vneirael75khaAfjgVkLzx6SOpgpZ1ni59DWsm5xxmNa7mJVdTtTP3ZzfYDCFKjFRqetK0HzD9et
WWSh20cXtYri7vlRJG0Qx0GG0LSM3YDIUGZwCIlBO3kTQP/McuLgD2JlJ6HXqXoyU68d99v+hvvA
X/+CxbhXzkCyaqj89PgFYXmtjt4cevqwq7KrKLyqYV/JfYAH779gIm+2FMBU0Moxq0azYtvGnY1H
DSYFBw0dFrdxdSvVl5EB0mwDNEBluqivCWCXP8umjNFWhtsDQ+zgomI8RGZZRV4YgLULIv2GgGaD
Uoo9XHajlB+LZpk5QJv2nmIiHBznCcGDRB3wSLVmGb8MbS99N/xLP+VSDJSJiulmtLudb3+XgE67
VsMcuof3DXnJaoJv/tdM/UvqawXCROZqMU9tHkS5q0EZProwrBuES8kg2F+eG1yjMF81m2azl2Qs
Be8Mx6TEMUWt27w7eI3A2GogK7lcKEDQ07shR9YQGFBmikSNObwL0gYlL/TBl4PJBhupJZe0goar
K4X1c2Lat7UiXRNjvATjxL5R28O2YXI37guO9a1pHif6HMS52+vdflTGuxmOZxuCF1bYC5MRhCcx
HssSKRhKoPdhDoim+kVAEZFG/hC+/QMGhirhPBGGm2zETJE9Lux5YVKQS6doX6n1UaGLaRuEu1df
IGzEPKISqg02CAespnNrTUb3ksCMOUxYOC2KBbl2UELACJgjWYZDEBYB1hHFDs2d/EO6iS/Hy2pX
XOKNFp9Mf8CNN/vGdXQh+k7cqj26q8GeC65ZjPgyF72CfI9FG5h4Gbm97eCePaVXdHhIj6mX7NFq
sb2dXEv/8gxsvlFPQdAatrCLCTyWZfirA1Nnav8uqlvhNDHXBL+g2Lyjok3WEMdY2RhmXpzMp3iM
PHUcBCVYXuMgSNgx74/aNTgvWS6q3MjqXqZgk4U49M4+aW54Ef6pD9FLeFf9ROKR3FuVo/4GweFS
sy/csjimL9u7ylnq2U9gAsLOaEKdSlUObewp0JwpkOVbjH8mpgexjiz2t9F4CVZLgSIHmkPBFol+
yfM7RCZZQKA/DfeeJw5UJ11TPwVoWuxMNOi41ZxC+Cs6KNktqdtd0oqIJDlx0xk8c7vIvZqkRlrD
t2g7CaUpcDD3no1hGiLfyJIgEubFK2dozC3TYKo5TWOgEXLfIt0wtz4Y5B0zeu4ILnYk4E5B+w9X
2xkoc/HoE7QIWxU7HFU3FTRDZuHzkvd8OYNYbGoVh4XEKnMpw7ok6S7Qd43lkyj0NPlKD15TyY8L
yal/E8iKJ5EfxS9R0i2jCsjquCa6tuPLARqe4dtEH61epB3G33NDV+GOFhtju+IxkJ9TUMTnaKx+
zkGF1f/Q591QWfu8ftRmD8aHoR3hjD7nFEHBy0QlZCmuQznifEdIrEMj18KmTxfyH+2NYmDnQD3d
TR91t7uE0Kg/yOjJFxwmjkfEMx5aVKaJvliVzfpFidQWkoqzO+4mX/0RvKv+DEqNvNyFf4prY5ff
2LDsY3Inune4y11kAokJpiOdvXbkSQuogqF9NxidhDwb5VXS7rYXx10bnjYYSUJK02QZpDJJJiMx
QcfWqGRvjr/UbDdBp20s9mOy34bihGqfzFz/g2JODEVjqmWUgIoUL5MwiXKwi/0kEhXgRANnKMyh
AXNTa9MGKFa6H9WbxhLNFHA/ymrHmAwGlHpLtYoBkEACLXyK+10UC8adeFc+OvuXAszSC/5t/jSK
aiiy9Jh5NGPZxxCvYyl+nv5MA+gmnghmk9NdFqvgphBNDPHO9Rkyc09JJAPLMVmmLeldh7I4pEaT
n0gOQhAmrjwIJAjTW1xIMASgsRNdO0iuLia6cnOKnQQZ6VEoQZYmg3ICOFs6MOi3UHjtIPDcgTIC
7wdv2xg5XxHTV1+g7Doh1julSwN6Md+Wxq2sfBjjr20IziV4BsHEbXUQzoSOgAgtjJNBIRZK2+HJ
ciAlvw302TfJvGLXSGyxrulbfVBkIJFqeNQ7epEEk5NgorDBDHvaEq8lH3X2aigPCMOpccrHyFcs
9N1YjpyCZEKPjnFv7KA/7YXGkxrIbq7+isG0giZKp9eL23HQbxIQJW3/bo5DOPvZbJAS95GiN/jZ
PfIZarkblGcb/ZKFvw3D/Q5gzEVPoY1uXja3GWpRABlQTONMxqw9x7adv4cwQ5AzayRC/K7Ds7eF
AcIeGYSlf/86gdLrotuLMWlL/sYbCyHIHLxEMTq2sodSviwyweq+GzL+vrkIJeroK8cyz09P3ldx
HST4+w0KtTYNITOX7mz5dXsPOd2FgEHjLjIlqNMB6xxmafjQSx1D91l8X0M0Id3JZD+GnhGGGKW4
0WeP9o5pn1qXPuoQZ3Zd1dGr3SxyjbzlQi8LI2NYMgjgGJtpo0pJJhXLpeWfMjVO7STtp04VdUp/
vxYX7RvDAOUFpF5BAnC+3DYrFJq1FEm4ydEf5X3vyc/5RXAyr/TabR3zKv9duPlldiGicvpkSTg/
y0A2oWBigJLNRuX4HHmW5U6qZDjgwTBmqHjjXfqhoN3wcirVflFcbtHL39K5h6Ykae7KMQPbwpwr
NfGUOC5vFaSmbtC71cRgsLAbwyNDoPpDU/fokDe6vHAkNQtLp6Vp9BiYXfM4zCW+HZFT66AGyd/f
x0tPKu58zKgsh4+1z6AEm320OFoI1ttaAE4qwbQd71utEZgLeaKo41cpEMbyrofmy/AgJ5d22jg2
edg+BYuRf/s26FsHoRtysyZ7U9EuzwwtqdE1oIXIM1Vm52d2BnEqybIcquanqc7w3MhAUICYUdSa
yZGagGngLQeZDwxofRvpUIIMPfM1HFlyVN+DH8SpThLy7barHTHM9Noj3X4YBqdwLvIb7Tr68/dd
NGf4nxf56qKWlNGuZRv4ZfYRGpdBvO+DFz3fb28y94R/rfIzNlqh6GnVJ/oyGW0192nqKTVo+pSn
bQyuyYB9AQMlIPPGi+L8kHUNBiYr0i+DfNWt2ulXkU32RjAj3CgdSwoEwcb3mBRnANNgFgaILUiE
MM+WhhIpVDosCSOM4ERWHTX6sb2g73ccEOxFERVpIgX/YxYU9DVYRAaYxnyNcQCZHoLILwZHt9xI
2Gm+/Fz2GKzAbKbuCTLfsC6WMciaerl6NUz7nPpW6ivhwdB2I/HK5iaPvTI4WCQVxAwcvsqzlbJD
oIGUW/ioAKfXzZ08OtKT7U7+sP+dXeneVRs5kWfuX5SDEx4hN4OBlsqdnMK13MGHwrTo5/CMdb0V
bKJDw5QVXfZdpqcaFU37EEa77U/LczprCMZ4qsgOAmWZeu0yrxuPoOvCZQv9ssTeSZbblIdtOE79
adlg3PHIV8GY2NTRWKSpVqCL1A2rXdPeyvOrmhys5mbC6Gn7xyLHTHuvpAGdWalbyj8aXZCt4x0W
ODgEM+hwx4OAuTACaoRJR7DeHPyCGKJ2elXgYbgI5tIArIKZE3Mm54dFnqsqVY2lRZZgrD6/kmMh
QfLy3dkjAvkP3OM48hgSYM5jTSWZBikGZqB1HhiX+XSv2AcpvQpbvzS80E4d2qDRDf8Jyoc8R7AC
Zs9mavZh2/cAxrCaLe0V8jNpr5XpqakulL/v4YdL+1okexSTCa6oWhZZheWumX5Us3ohRbHAeYpW
xB4xWmTGtAxzRWCzNuabrLjESyQwfsrtAY3OAjTegV6viTltHdr2mlRe1oTeK/O9aS+S4W37hPEu
H8zsywsFkIkmdMY2qkqHtkmLsV0r0NCyUsd/4l6VnKGEdGU0hrMPnkYR3R9vE5c0HQqs6Hq3WMLu
UYpIbC+NeHn60LbQ5HIl+alUnMm+GEQsqJwtVBYNsk/WEXDdMOsDb71SSgawWhuJX1UzHqvWmHeZ
CZ757Z1c/hJzyhRQW6H+h4fdwp5zfpBDOcDDF1RablzEjjLF12F5i2Gma0mpLipyHclkZ+kIj7dR
OdUgzMF9wX4rW4wdbnkd/iMe7QPmoiEaaXph/Ewm9SBJxkVTPdZhdNlHjYeAFxxiGq6oRnOSuUCL
5ZOWRAet01xN+bX9w74ZFvL9KLVB0Be0gFBiZqKakgQqut0LOBY0ppXdG4WsUiPHx6ILL5CQP26j
fTMpBm3591WchlgnMTpIWLo9PUrKU1Jf6EN0N0OzpMQwBbFE2oei1TEfu8jnPolr4GXNuMtNclsZ
DVgoMj9uk+uxVDPBZ/6WnThfH9vAZkGN0DRj6Fr3SosE7GPdfFDz9ygaWvue62Nw2KemFcRJVQCn
tdX3Jk0ip04K6RJMwic1z8GiOo6GD5m4EpP3ee63av8htVUq8Hui1TJetomhrq4sq62lnWp5FXp1
O8wYjaYtAOJ+RhuNLbaJPC0Iq8/NxlaNXLUnfMaousrpbkzvcIc4Rv0SiVoDuAa6QtLOkQbJtIt5
BJKtPqPCpYy7Am1gBcTvUssJB5Ez4u4gxPaQp4fcKfIk53AaZFvauF++IwUS1F9zeJ52Vq8MjHNv
Hz0R1PLvq6OX1GklVwRQlak8WOrwluhIkQ7GsdZFpGXfnPlinatVMT6lSaSiUFtsohbad5ptoCm/
+6lZjWBF/FOwwmG8SaKhvj5EVYPJWJ/MXgHhXTWqvAK2QbNHDInnoO3AqLgohhFtJeNVUjMau7LG
VlKCrJVql05Wd2jOL72hgCjo9nf7PjX6uZtg6YboONpI2CwazctKthWg6cn4J6sUF51cN9YYHts8
fg2KHGnQpvtIdMjF2cUpsmQ0sjReQgMPNewXDQO92z9oWd3ZBXr+e9g2k14yi2roPne9cBQohVqg
3M8iw9fLnWR4GUZ1m0HgAHg7DuUOFDWQREE8wliUVGY6GYsaX1ouBwdTQD6Ee7y5qj1cKYLU0Pfa
Aha4BmPMKuul0upHxNo5vSQQHjVcLT4NuVeaT7HhZPZLhKrG9p5+T5UymIxJ5XRuMcsITE25KOKb
vMVGVl6bPKSIXztPK69C+ZAmflM7QXs1WQdluIjaezNG4HcZh6JWVN4JXm0BS7UjSROJSIaf0+jh
+5A2vw013UNt5G+fbZ+rRoskesoXWlPG/Sl4A5C4BExiomPJKN6QiLzb3lne1YEU4n8QjNuzQ2IE
GAvCxiaN02iXDS7/WbpV0udAFuRTRFCMkRp2u/Dz4WDUIA6K8rtGorvKvNSlAi9uwc7xP9DXshgb
bZsoyDN0+LhwRK48eqGELkOReikfZFGoRu4QtQhmQeloW3Ej4dSlCEQRZLh5GFxWpBB8It6dC+ry
/2CYtdRxVgZ0bhp3Lq7G+tGQmtemuC6zFiI6oxNptvClvYRHrAtbIzKnbSZaISctELtidKPyYP/B
4sj1VDkXsQRWbrfrRSptXONQQY1ngxQGLwEmhGkRh7bdiL2Uw/aUoAFLMgc/a68xG90SUSl4iVK+
rW8FxkQxVRYWoR5jfXFF/BGc81GOLu+qdoNq14eKo/SYd3ku7TuM4YLcEWTxmYgsg3s5g83qvwUz
Zzss5gypXywYmlp28D5q92D4z1tfk3CDVX4w1I6l3TTm2/Z5F+IyB74yTVCYNsCt0bCEkojc30FE
maq7iqYYWcudygAHm+YpiAy2obnHZbVi5rgUeS8lxQTkCil+ub+YjXHfi140/E+7jFsgcELydjHt
VRgnDbNcSmHXuOose6BywKup7V63F/IZT3+3ny8QJrAf7Lo17bFtXMWGagZCnBfb3tfSKdeu+xiK
nS+2um/aa6v81dqCTeQ6A/ULmjknEk01qbcBTbLW7XQZslaPSERUTi27hn2oJFNUIuHFMwZRoWuA
JiF06zDOQK+KRA5nIErV49RftbZjxrugGpyMUKdrD+K59CXX/W17vxDZ27W31KyZCiD25r5VfaO8
ndIZE3ulV0QLtRIGZisU7f56jGa5bTUVGkZoEIHgHeMV5jrPZ5TsazdTnqsxcuysd4a4O3bBGxne
Gzofts2Iu7ErPMYDUBTqk6FH7VO35z2Zx706yH5VQmfY7m9CauzlhW0gU7xtWK4FrWAZB5CP/Ujk
BVa1pWcp+NlnNHJaMu1K8q70uT+oleghwj35KC3jmoSGucI2RHURBNLaGTsbq9NOVccnZa6uYvBl
WdZ8nShPsTIdxhA/w5ziCgEc2kdt6UVObcdqgn1piIYouU5CWzLJ6AWyMe527iQ0tDd3iW7V7kzH
faZ292NEjtu7zL3P/oMwWO2kvsJLZ44AAXWHQb9GVJyke0vD8LEg0uGG/isg1uF1upkjV4a7ywjc
GE1tHeo1GLo4FMIiFf8z/m/bQEh+vm2YIy9jefmMfXvojTtreGkVkbfhvy5W62EcXGG0szy1WI8J
2bleIc6AttM0u4gDlGcKH+PUaoh3VSMa3hACM8cfrehdFSkA7uXWh+YXRp1BqnToMa9Sj85kHAi9
pub/kXZlu3HryvaLBEjU/Kqpu91uz3acvAhxBs2zSA1ff5d8cXbUbJ0mds6DkQAGvESyWCyyqtYS
xHaiKeV8gMWqzEolgJbEM9EwEEY7s2OCK/ImCHqRoRODHxQlnq+bWubFaC3rVqIcYUzqnTYZPkhq
BEfTpsmvYDjH0hBjslIDMHhYdmj90aK7KKpQp5UGYTgKwDbNfgXGBROK3ZtVOwGsmUpnyu9qprlT
9L2rRMkLEdDiTlcBhREpLYJvACXlQzrsFAzKtMBvKcgxidaIc0l6jQMgS2EIsomLdVQ8x/IUgDX9
+bpb2oZBaTG6UtEIxdN5NXUVF90MtwT5L2dQJzyQPo/gl/nfUDhHUWZ1G+FNvXXHXt8rdvwyNcku
LW2BOMrmSYam6/8MhnMVNDHziFo2fCwulHO808LS15N9j3tKA2lA0bVINHecg7DacNBoBTi08EE7
qibMSRNR8ls0Jm6v4hUgto0RU1egTstriR2nTjIX35Pcmv0elYUdmmUG1Vfzmb5cX7XtqwGOKhkP
xgj2+CSaRqW4HwZQ2be9r7fHmfpgPHXU6q6ubuzeS02HNq0ToQP8OvDmcfwH97PVZLXFymhuJpZh
zLNCnBwlluEoikA2Q8oVBHdKTkzq81wBhFWiGhKjqM29AUeL9pQMwvcTDYwpyKN/Xai4hJQrWG4j
mGWJsjMGk9El8zDW9G1u8931ydu0yhUEtwl0I6Gd3GHR7OrUFiUq2F5MobLZZqi6AuFMH5SPljSB
FtPF2yaUzQ7d0jhKVKfDghnjU5/dzNL++rhERsFthHyQi5ISQJYhCrHM/Casym/XITZd+2pU3IFl
qCGSURZ8boN6qLI9lWG1o8YpAT3I3wBBARFvGwsNBbdGqREPoaZKLUjl0dNWpJFLwIbMxtKpLBGN
/eYpDObq/2BxS9VCaKM3bNhDoR9xeRqV1lN7T41dWfmbl26wdvwDxS1Rl6NZqqwBpaj0Vo0mN9We
xgJpY5lGH6zNDyoS70MdikTMtk3+Dy63bpqcjSzNMJ0EPp6CXQstA9E4CN65Nz3xanRchKFm9hCq
y+gsMHPnTzVYfRQUgPR6ULe2LyxJ2jbGP4NaPmflBGfKqK0UGFQe+Qx5Albv1O6bZtD/0Ra5QEPJ
F20ZGcMiTe+My92vSZCbyJ5pJZJ4/i8Hyn/GpPCXoNKSijCxgGVD1Wg4xOBPzUqQ6Lkz9CTz7Hm2
f4/yS6WJOn0vaRQ+/e4fYM7dQ8AhN+YCwEkHeZb0dxfaUWCNstMjIAEL+q6onxmbHJtZ3oArZ83A
OgMJX6JCg4CZT6PWPEyFLEr8XTcpFHScr3HZmxrqRbDGffras6NuPfZVfJPmb4bxLWsNwUpvO23w
LCgECTCor56jqcpU122OM6+FWG4CyZ1qdBK1c0rlMJbfIcvq2LH7F47us5UMYnLogOY8wpiFhCRQ
znXxfoNeQR/KxJ36qxGxe28/wK1wOA8g0SlNuxBDM8HJUR4KKDBLP/J2X7DHSdkpBGftz5a+Nvkj
2r2862PcXMQVNucXNKshvbGc6aD6yQ1UTWVvHVKb1ApohAYsUU/kpl9YwXF+wag7JVV6wEXFrya5
02q3se5LXTCozdN2hcJ5hc5ODTQpAYVl80HX6U+F/mspw2VP/gOBfNa5OeZyatdlAoikab0Yfk1S
F2HevAmur8/m6WAhDYqCIk2zCWeDYJ0mfVqg346M1UnS1JNRyG9Gaz5dh9l2bisczgbRNZHRUIWP
UYcvyJFAczBNAlVxej3y5daT6B4ccDG4PAW4y7a9eB1d4XL2Ryap6+gMXJS0OS1rbsJZdXB59MJy
dMqs9WP7e1fGP+q0d+rGdEra3ZomaNyuf8emXa4+g7NLFWpy6tAvviynN7VWHztUCxWQrSaSiBNq
M6RZQXHGWdh6PeD21bq0+KnDcNoUlzsU0g5fQFS6/5+GdcED32VhidJTbLc2iOIE4iaePbmyJgg9
N53IsiHAsgVaGF5RV9NGIzUHGGkz7bTuF0pAarQFJrKn96+t3Al29+ZJsELj1sqmZtabI9ZKHr6R
9tVgR2K/DWGM/pFjWQdTL9KJEQFyK5Z1oaRV1TK8MnUiwy2lk4IS/ba6K1RfN3xV9By06b/+jJAv
0dXjGLIdJMamt0AEgJeGOe1frlvGdg3CCoMLKsIOdSTliEHJufxoJ4PtdHnF0M5JmKfk4x3kBu/l
vvvRqsPsmtr82oXzQbJCvB8m90m78Jm1eepXuRq6JQOhyjBV4NC2Q0lwCl8yFeAr0WUFab+lc+Gi
MjUPpV4uTEjF5iryxV20Q4cTWmiqek9S9CE22U3M+p1WZ+CQhKdKh8PY23/zCLT+CM4/angPRC4V
H6FUjwMUrQxkNItS9Dy36YbXMJw71PpCAncyVh4HV2sFXXc7D2+GZLhJ/t6lr3K115tDMwu8//Yh
88/+tcn5YRaik06PG9hCKs83EhJFea3dRU0mEh4V4XAxnGnJaZ2a2Ll4tt2rYeU3JsrrNdGr+7Y7
AomPKSPPZ/CcMujAqlAgheGYxiszZqcrPNqj93DyQZMjG6J2781FW/qSIQIDyk8Ubp9PXzSYY5hp
WLQ8c3Nzcip6WyCbCCWFMT4N5d5GtasEkbdSF2yNTT+xAl5+v7plRYkNYUik/t3JbHbSOOwGkbDi
5rm4QuDCjzwudMROmMrRwqPCHNRG6GXmvtJMwQG8eSqCDg8NJbaN2mhuDsGcZY/VANMo4ye98ROk
7mWEoZqPFmAB1KYVrqC4WQtHwuSyXKCaR00ZHKOTwV+cBtcdrAiFm7kiiiHQslzrpeTWRoo5Qd2g
kJ9182RCmSxoek0V9e0cSDyg6kjtsDwK+IKj5HaCooQMtpru3s79FMJijSo46i9Jiz+9MZpWZNRi
6hAlOre5OmdZkZmA7EsnO+lP04Px0t2RhzCQvUVzDm3s7BD9RhR3fT63NvVns8z/4/KhDGmzMlU+
X53mg2X6Okow0wcSHaniTakgj3XZR3k+SD6xkJRGxhD54nDc2U7km5ETOZo7O8ZDcVNAZ8+enS+y
k782QeSBhgAl/JIgG7C1H9bD5V1y36uJocF85jGg6XGa8Az1YrWeoXy/Pq+bmcI1Erfz9MIuyRAB
iaRHuGQ6UU+Vj7qOGgV13xpBUxhuI2pZu+yQ4GaY24SWxSLCJMxw51SnGXE9WnKdMYLKjBN/6V/D
p2OvOuif8L6HfiRKZ6siY+L2DZmzRGYpPDZ44ILwxXhIv3Se6Sc+0m67CAv6mHqWp7ntQX9qPOlb
D2KGXfdew7ohyL1HnGSDLTM97NWvbQBJ22MiuhhtufalZ980bALNEL7/FA1Nc5YWKc6w8S5MRjAT
iI6tLQe1DjW4dW/Los/lCYdHGTo6CESkYhcKS9433zbWKNw6t7meaPNyRBVw6JBgM/MTyBS0+KdK
UTyRS5AL8Rv5dZZ3gx3ok+xft+6t82sNz90VpHpEcW0BeK2RbrLZPA75bxCSfukmkSauaDo5v9gy
uSpLcH+75vSgK68Te+7D39cHI4DgrwUpzWlpRhgMyWaXJATkn3Mw56V3HWYznllNGt+1N1t2rNNh
mTRwc+FGjrOYWoeW3DPdH5SfqXKsFE82isN1XNHwOJcXxSNT5Biwkf7eIm/GlEedfLmOsb3x/7lL
8KGabqGru6ixSsmAyj0GUqZBeres4djq5CO1njsr2V9H3N7IfxC5DTDZWZtrIRDb5hTKiAILCE0I
zsZNDGVhKF34cS4qkkqIJCvDsskIje8qe8DziK1V9Mf1kWzOnaLZFqSYiaXzcyejAgjyCwtKY3iT
5EwQ/YE6PZFUCNXcR8jW/W943MwV0TxloKjBXah5arX7MAuy6Ta1vhbh4whulutgm8a3Gtzy+1Uo
bcpJmskGwCY2owr50GYdesEFpbqb3mgFsvx+BZJFbEDKGyDh0PigOXLlxMb927pHoYfA7ESLxV0k
jahMSSYDCpSQqo2SFb+fP6bxWSVHqRfkljbnDpp/Oqi00fXIP82bfTfVeYiz3AQP8DTcKJaXNKKu
8+2YbIXCmUOpkVrKl6uxdYrv2/28R/bqUJxq6BelDhK3lZN46qF0pVMRyIWTnyyfCNbvknpliVpW
38BZSU810Gtk2ALsxz00cKI31PT9fH8hOnTdGo+5+s50Z3f6YvnUVW9m3e0DTfANmx1C62/gjAhv
o2PRRZgHCtYCrxhc/Wk8dju2Tz+aH/GjCvpGH2kwxb++QbYjttXYOYvKSzIZXQNcSCVZkoPOv2O/
Jz/Dn1R1kFuSA+I0H8iS3teoUjb9QlT0sLl5VviLxa82T6hpWWYnwNefTzaIGr6Et0PqY+3lAFJc
T/QYPpE7EHREH9cHLsLlDvbU6GrdKLHmoLRO8ISgnWbJF0q8ClA+o/TV6MwMxd+jitEl7UcaHiEZ
kEE8fW4E17flY/nn9pXxfB79Kxiid6Ga2sskglM1j81fKsJsiBM4svp7jmVE/jLebUUls5vO6M/S
fb7wrVC1cm5jNgGV1j+lUPPyDOQjOWjOXgy8GyZdcH3FLmkxz7fpZ1C6wovqwpbo8n46uRBAAkmZ
a77jH3QLmnd65/T+V/mjd+Un6bbc9ei2dvNH6XbaXf8KgVf8ZNFYfUSvgme2lmA3DYRaxkEJKs2F
4vnfnFurqeU8UgV6eBYvdtO0JSgPGldXv/SZKCQULeBivaux5G25lCkARU5/dIrfUa+Jf+iZDyFI
JxURaV/ezkA2iTZ1UFqCVR/009yY2ihllVmCYcGqoMor0QgvvHolEze3k/QN5HPzV8vO7UOi0mGf
alPmtRSlXk5N+syN+jl0mjmLv5RtLT+UIUlDTx56Pd+HXUY1pxrG/qYc1TFxoA2ieia6SH/SlEUD
Qpli/JmXqfYrDtsk6LRxGmGfBvkwWasfymHKjlNk0REswO38RO1WAXOBnH0NuyY5QKK5w2056Ypb
qaT2KZNZ9XDdpi7WATODME+HvKdmomSOm5mIyhorFqEPc5KSnWTM6Cdo7AMy4+1BVZFzmSwrdKZK
YzfXgS/vcUBGrc9CBI6mzItOlKSowRxhggafPFKceoWvEvDoyIf5pgpwHZZfuv11xIuYlgMk5yYH
KjmQFn/y7nePKhjBTZFMxIXH5QC4+2+vRb0lwY5Q7+ODxLCSUKufyKj68a4P5MIPLDjoFEDHt4H/
8HWIUsMamiz885bR+JRmdyWK6ClrBSW3l3EBcJB+gzIymHnA88cldGotTBH04+AAye/gg3h8X92q
qVsfw31EHHun1065gwyH4Ea1NY1rWG6d8rRXtLgGrNLdgHJOUn9O1SlHH9H1WbwsgsHwFAKCeGUZ
nMUz3aKZh/VNrEGHgbWl7MZxzE7Y5sPvhErdXtaoFTlGVo8fVqnRu3IcaoQlDLEQKiK7GzzRt095
VqH6vpfm4rVNtOyhySX6UdvSLNilG6YL+mGQjiwcxLiOcZESWsOadMgGMB9bg5dIcE+iBOHyF86O
cbDyQ9MIzINQmVJtk/MDQ6xoA2thU2RyW8Unpc8ocbqSOa2wEH5jgUEZohvgtLdtsNpy+4TJGt58
P5ntK4eV39rxvq/wtiyYs631PYPhwns2DM2YTuDon3b2c5Q7xK2ezGN+Hz4kbv8bRAkZCpoCJFK8
RhBZXoYLy2zi6gJpEaiqWbychqZmfZhl4O5XnvVn7UbzJT/90B4/9DsWOczNDmAIpvupcNzkoLrT
Pt0NIsaYDZM5+wRuF2W6nRBrWuQDyq+GdUpFRQeXbzrcGLlVTOWE6Uu6yNV/LFIxIXSOmKN5CXHk
2KcfhuiWsnFSnQ2IW844ySFLFsNC4wM9VQZuKuHtvNNAr3GDfpdHUHJ+AXWv+6a+9F8FnkI0l9zm
kKRczTWCobbv6aE8JJbHvmhQh3GUxZDc/ikL/v1ZdTZYLjyK8WbA8kWlwEIRrCz50Sh6CxGNiXMp
qZwafbGMqSTZwWDpHtnv69O2vc3/bIJlQVchXlPHeTNPGENTRoGt4pl7/GKAYVnUKryJg9cjsMRC
agFR3jmOzpQ6ZmgJcQvIYeijE1nf0RJtoyX7+ng2jl0dtQL/4HAGaIDec8LFpnAj6QGNniivkajI
0pYj9cINrzA4S8uMkHQjA8YcPaUhtFwLvzRRIjLs+/lE2sekPMj2d7QnXR+aaAo5czNQrCgl1uIs
NDTN4lbVyG5dHVXRUommkDe6uJp6m2J4ofWs1/dtBOFfEauQCIMzu6maw4L0wGijp9naV4ML8VFR
7LC5e0CUayF0hdQqz21GLZJEWocJa2zIxuqenexBf70wsZryK1JrWvLW5s9diBsU7mo0f5FEQeBl
lm3xvwu/Gt5n0UPx+bK02l5V10DltILZ0yZQzUdWBNAkCsbGDQu8nUCtTx5v8yq4bihbMaFuk4Vq
DVaKGkJuBXs9NtopQYzbeqMHwcOPuXBwZbPd3Inudbc+yU+j5Aj5TZY9zO+LNSy3qKmkppgFyIMZ
Owio78cgcpz2OLr0vXlujqYgVbq1HdZo3AONaWTz1ComkoXFvtZOqKyzOq9lgk23fPOVMfFEOK1d
WHG/oOjte1l72nyyWO1kSGCOQVi8X1+4zZBkNSaeXVqRmnFuCNA6J9qB8ANLlt6bdwiBUgd5OmjR
vEde7cVPz+oNiuxTb0Cxq6jf5/LJD0a7/gouKqlGWvdhDPOZ778lyPbPe5ByPdv+L3LogtBpdzV6
5o/HUeBXt3zCIoisgSfGROE1Z7VzrWSVJSMUzFuvbVsw4oE/+en6DG9daDG2PyCcjQ6zYmXthLH1
AfP0Pb2DiMr34nbwQofthj04OwSAW4fFGpAzU9oqNukUAJKdkgfhbnyJHqv3cXYVw4EkyV8cfza0
qBSE7p/9x+fHLIrxNLtZ4r2kRPB826f7QXTj3FwmFTcCMJrhoYZXia2GNh2SES5tURCKFwVEEL0z
wTi2XLf9B4Tn2But2EznGSB9/RJCziYR8gULhsFzbAy4w01pgRNIamoH4hkGvQlFq7FY7IXz0CCe
Cr74T5L/89UoJhPn0gBtuF65BX8PZV+ZGajZYRreBFa2ORoNrKGgJ4A84Oc1a3XOUDU1oynE3qHu
+KOHiygcM4DLd8hzcpjd+nF0hcxsm2u0wuS2kgX6N2ZEsLUx0H5nx8G3vHlX3eZ3zaF3o0A/iFos
l61yOZ1/BsltpVzvWwOygaB72UVPxWtymx1Gv8aD7vXJ3HT5f8bFd3LqdRKjzBMwLDBRhON0gY7h
MIG3E6Fw7zZpGU+K2iyz92P2osfwllS45IpKXgRT9nngrOzCikjY5wNQ0ltwULgx6l2YnwSis3gz
zkFh2H/sj49zqKL1UToCR3tUcPT3x9bHg+R7vhsery+OwNA/xW9XA5qJWWioB1uEA/dz6EXtISSv
1yG2Ls0ImsDQDM3jhWmAszNa9WBPmCF0p+Rfa+kGj75exfzJeArNwLJ3GfltykFlCtKpG/EMUFWQ
KS3796LlQ49paEBfB2G3zVDm0UPbc9/g9bkSvHv8l+GZaJEmNgRIZM7ylJzmHSkyKDsZ1K9QsRpa
Xyr5HdrfUOFUfGiCQT9Xgngl6PCiOfu4PrsbXmOJSP9BJ+c+kWWZLFkQCYOKLTo9rDtF9K6zOY8G
XnXgC/FUzDv23GRdD+EHDA/hdSb9HscnKT7FotB+wxAB8AeGG0cfqz2axACjRrdResvivR4GfzFV
K4gl3j6zdclqoqyAvBgBsTvKVevo5TqCaBDLYq0QpDZq8eiPQSDv4lT2b1TUQ5xFkHzcirkMaCsa
YLdUQeD+eV1ZocydlUk1AUoaaU69kOMgC1iqTlne4UkXeKPuzR1Yg15H+hqKSuo2XOAZ+mIvK/RM
UlkqyTC4gqW7zjafZdYcJ7N0wBroQzTDS8cChtjtrk/txtl/BstFs0meRnhXxaBn9akLb3P9NCpf
1fabOgtCpcs1xJOwqclk6RODcAXnrYpuaFDKbKZompdjJ6PNXWFITi7HAv90OY8L7T8ItFDujufg
ixecnjZ9ORngdytBr0xP9fg8NJM7qAe53zHzoRSpc24NDPKzENjDNpYhc3q+cGMNatO6NlFcD10V
5TWLn6Tu6/VFEkDwpXU6NUo7rABRQ0231d5Vanjd5F0H2RBO+NQvU8HHhZgWen3nAwnB84LHLysD
NQQUYq3aLX7bDnrNVKdvHfObdDKeM09UOHPpZ89BObOfpNochhGgDTgIUeHkDaIYfeO2CghLQ1JS
VaBdwqeeGlBcxQnUDNzGL19YAA75IN2VB/s2P3SGU7nlXi3fzF3tPg6OfZvu7FuRBO6lrz//As4J
F5pklHKCLzCZU0sHnfhMZbiNvF1fwQ0YsA4tWTy0uS27+nwBsb0KZtMEA6Svun1Ux8CUX6gi2MiX
vVmaBWa6hdyIyGAu+byXrzyV3BG7KfICbw1O8ZS9KQw16Kni4sHeSW6SXejljgoZrxPzo6B4FgqS
ffrh8/j6HJ/bcE0+k85GCOLSmzmAFGOgfVXuUK6Linfr9NPcff95fVo3DoYzQD7SpjLo6lILgOE3
MBsPspu9saPi2L5+omOg/E6dwRFAXrplJEqhnoUrMpymzguFpvIktTr6dvA0Jj2nD80de4bUrnG7
8EU6887+priZ14SuqgvvFVtWBL1rC7JhUPuBLNu5FenSZChZGMGK8jBHjU/4lMv0bpil7qDIoYh6
ZGuga7Tla1bGlJl6OkuqlLllAk5Mrf4+lvkLib5aM9lP/e/r07rhRy1Uo6A+FHHrIk55DpamdRw2
DRbSriJ3lL+PEGg06ufrIBseDcKu8DQG+qIVnc9+jsrYV6YNeYwR0me6gxjdfEQIaAmscgsGBTk4
U03k79WLZUqsAs1qAx5PkcKFAExtiZ4FNk5SEOESHKHoJb+8X0yxXSjNomtphkE2v8ftAA6mA3iu
KyWAaDPSraJKYSjLYAW4vQ1Pjbwx1OMI/AwX9MezVNhxVC5KkFY3O7IWTm4RyuEDRF5hH2aM3IIT
6zVqpixGPXuIBxQTWnh6QTIAQt8S0lCoDB8k5ECTuRsOwyBpb0XYIYpHU0W9T2s1mz2mIhCRC6OP
d3TIVcVjCEpuu3agt0jvt3eNMkX0WJuJ9mDMBjz2PM0B6af4aJBC/kamyjqOidUdKAwYXCVKgZhG
mzUFrZfI1YLjNbKN34VcjcGsWdNHIk36Y9WFoBqDPMuXOrPoUbOzMdCB8VhbUCOrwVMfe8Vosxst
N4x31sTNjmRTrICxfugnT4kkMBEnEKKe5byL3KmV2XfEq2kXkEipDtSYEfG0g1k8DGXbz0dIBw3h
gw2F3PsU9MnMHUDGCR6SMq4Oph5PbzVt48BMmB05ldITD2UBxi5O1BlEC1ZVT14E7gcoQ5NYus9J
Kb9nzRw+Vn2XQBTERKvnwjLrmfU0tDdMA8c+EnRxiS7nrLrBMqpgwrez6RdpCHpv5yErXhJKaiQU
dFkOyq5LfneQKCQBOPlKPIubJs2QgIjoO9GG/ms1R2iuY7GVfihRq/ptRLXRgVyJeotuRuQZeyOU
BH53y0GYuG/iUq2CQJN/n0rsBAa0KAJhKj1ivtkF6qxF/A+bIKiGQawILKjMnHshzcwT9NijJkWy
HlkX5NTTVe+6D9rw4XhZ/QPBBRw2JDuNEDQTeP7/lumGl1Jo35YD6l/+decxqvrXSJxLlSta1YOE
wXTTXmlvOkTbIu2fjSMC/HkajiSoDUFXi5uvhE2EIfhetH/KoACzf7EznuO58LVQ2V2ft8vXLiRl
ZVlBLg5SdOBqP1+aBDCx1FR4BS9mVxuRyJD63ZzKu6Sv3ZAVv1JJ9PL++RTEuzwd0RQEh6CVjBGe
Y7KiaeJokVOSnpGyKW/fK9ecneKkvbxEd+yYuMazfpf5jUcfio/Yh5IE9rsjamDcOk6QAtTBXYMW
V1TLn3+FHkamtvRcuWoWGBCHpKMwX7NllGsI7qiHjudYWT0g7DBAgyQ5Te4HMqumQx7s0lMfm0Ny
2zr2QfRQKhraYl+rEKMuc7PqB+BGKt4u88kZysN1sxEhcE/M/aRQbfo8KeFfu+RuJI/XAbZCUIRi
iMcUE8IToNE9H0OPJuiq7CfE3BWRvpnMNL+WcYS0WmOBxdWx5y4PChAv4RQqDPSI9HGYEK/PSPGz
jdQU9pt0xzoZWCPwNFtDX4ch3P7Po3AcokXOcKCvEq4CRiyoHNyymjXA8gGr1bPaPqtIA42sZiBv
GSl3jY368Km+KYkASeRnOKc5VnKRTRKymmGd7IfoUObIDvReL5/ieH99PUVQ3KyNihmxLEQKuhpD
rzcSb0LZefWmyY1Xgk7hOtiWU1tEtfDoAjVghS+Ra6KK0c6G/xxqcHQlTo2eG21vt6qjj4chFZ0I
Wwu2huMWrFMybSolwE0F6riYN8m/Q+aw/O36qDbSv5ZlIY+EygE8vKC759wwmK238VBDpo361Df3
9vMvVAf9gOtEAxuq8dSdvB+OYGl/H2xPlOLZOsIR5OPZlmjksmrWoCPVcx3YsdQ7qO22UAGozJV/
fYgCFP7eOZWRbIA9G1mRuHSs+MHQngwRe8zWaq1Gwj+OFHM7N9mEkejoI9kNatai9EM5zcrCrlSE
6fP1IYnguD2WTFqTdzngVPVHbv4oEenX4NGO0y/XcbYeCaBP+M8K8ZmetCksRVpuYcl3+0XGW6Mz
3+LRDIfAremjVIE51p0VJB8C2IVYiz/MLRyfOM5R9wrN9nOjbOFC2pAqSMrhJCh019afKHlWwNAW
JV5cBf0krlnb2t9LYTWEzUFECUb9c0w7VuIhqjTMaVXWbj2rx4rSZzrUha+0dwzlQ5ItqIfd8l82
QQ+gjojIRPHtOSQi+kE1B4KYBTS9vqQ+6ODncqyklA+11bwblimqktpERB5/KZJCk6fBDdKgvdY1
GeLMaspNVHopybzPhkT5RrJQit1Ga8J8V4y0EGQFNs43UGiDvQJ9pbge8QcvlrjMjAEZ6zLWDxU9
mWGzu24zG7vchtwhTBW9l6iF4kYmIe9paRRpPDnLCl+f5Riamt2Icn/z13WkjfTn0h5ho+IC7QmK
xr/wJgWbIGw5ocq03w0+dF++28wrnRT6wqJLzsYGPMdaPMHq3JZAEEDiFljgKC3uipP1Mw4MjwYk
IPcuVI5P8ocsWKuNF+xzTM4slaqZyIDN5lZ+DNH7ysHtzcvcxFVP8V3v3KAIXzCjl4t3jshFfpKs
gB6VzijVQ+3wD/kti9zemQ6TA+lMP3xW3PyGHkzvOurlXjgH5YLBoSMVJMeWYdrPs3QETeFguGqP
9BAYVq5DbQSeZ1g8sUlVMN3oR2BJpdP5Mgbmmq72XB5T78F87J4jwdg2J9TEhkOaHklRXr0Z+m0l
8jty6bZ0cmd4mFR7aUbRul24TPxlMJkr0IO3IORoLF+xMk6zHPDsONMSIkC504ZeHD91EyQQKjfT
f8RMpHdwcep9wi1NEYZBoG3K2eUUQemLmJAETCOkvNhdvfAHJI969q+vyguQTkxjebxA3o67Ks8h
7spyAaAuh7D9ScqDFg9dpe03EF66bhmbU7iC4k7ysh5tc1QBNUm3ckYcUkBpKL+JCOYwu9X/dYk5
NzLOS6qJGst2u0yh3ARZHB6jYdhfH9FlRMlhcJFrkdhFotFl9qZvpfE0KWhPHx1ruunTm3YOssEF
y2Re71GuJkGw0kheB/vJ6B+QbUQlwovga5YJPAsluK/hbDQltKpkDV/TMpe2R00HR5hNHYYmodo4
gnXaIXLQdMe49KmQAGcxlAtwPCxbkFFHiQlf4SkZTRZZIJZFcTX5miEWJM1wJ9HYsZRsN0FlEjqk
3th+K21Q29ZhIVqKTXwLhGWoMiHI53LLjfeeaUgk+FWqGOgdROeQhFw8fZUNpJkKdS+hDJsV4XdI
Sr5rsiC6uTxHMPXgxMAzEOINQj5LU1buoVIpM3ILo2fDl6E0vJC06F0s0JbcvIU2OZiV6deg5rem
0Y/07H0YSj80+tu2qEQ8OFuuY/0p3DbTQ4hN5j0mokQuNop92f6l4uxsor+Z8TUQN+O9Vch4HwBQ
Y9agintTrR2Ra6erXgw8tEu4d7POSesHFbJQAku/CJo/p3uJfxaOTrxvnHtjW+4z1kBT9/OBRq1B
WvlTlR8LxU9H3c/S+3i6K4h/HXR7Xv9gLu5ttcSzhp1FoWfiNkk1Nz5JJjX3jLQYdm2ejF+ZXQ9P
1xGXv8hvKQz0n1Fyp3Y8J3XBluBE136m0jGrHSmsnHh0VfmU5qKWqotz9GxOQbx/Pr5QaaaU1Etg
UlY30EXe110I//Hr+pguIhEOhTtv2NzSXFvGNI3UhXLiXqHmqUyewdrlImciiA02uDaXfYmua1lW
EY5r3BTmoFOsqIzgQI8tJ55dWX7UtRz6Ei+W8ZEObl5NTqK9V+E9LQX7Y9te/oHmNdO7UdIzawJ0
D3XkgQQFpV4Bko1EpD5/GaQvc4r6FQuLhrwzn4Mw21GaWwKkonqLw6CdXBKdkMpxFPUGpfTm7M5M
MLjLWjsOk9sN5gyeJqUCppGhNscMcllzpfDWSgNJPxrNbg59Q/ISIbvb4lQu9sRqrNyCJsySaK4A
F12pbmsf2v5ON+Dc3X64LSia1XovzAPcm9E/GoIr87r1bq4pHgmQPFWRbedTqEqXTpldaCXspn2l
Q/qYDIM7xG+5JDpPN3fjCmn5kpW36UeWy+MApCrMvTqOPZUlQS2Vf+HUlrskONnAvYtHiHOYSmGj
lBAFA4JKsQvWysixIvjRUtO+ZQoVdFFuTR8e31RQmOJH4w3VatpCkWQoykqkdMcQTB09ZFml5jHU
qHt9pbbmbw3F2aeKNGekIv+J97ai9TK1150c+ldebei760iX91ZshTUUN4emXsaMFYCqStBsfyP2
g1Hf0eY2rn8gcazO32TlTQn3hH2psidlRG+g4Au2fOrqA/hXv3JEnRx6/xH6VD+L4ka2bhVwgFjk
oUhEZSbLtPHbbw3Fu+8m1Do7iiq3m83fWfyW4a5eGcyrkeWy6jhg2r9X0MHs2ot1orQWIvMcopQa
UtaxEAtZ6ge7o6/QgfMaFv7NRljBcFGTasV5okCiykUUeewrLZgBkYz6vi3+j7Qr25EbR4JfJECi
REl81VFXV9/u80Ww27bu+9bXb9BY7FSxhCI8O/MwDwN0FqlkMpkZEUkkeMOVPQSVAfR/IFAxcFEs
oCpx9t/PZbGx9bPAYB7G6UAxPrQekk6ByniD+ZZA+zaSfIK/RoSPR6FDQlGDhn1TnP9QVL0Z5XlU
oiUUK096n1tuDlCExBu5u4tWDFT6AEGyUAMTJ5IuNYSQcx0P47x+xfBvFSqukCwOPm02Y6Jt7mgy
3s5lPxTCIWhWgIFHwUdBWfM8iNUlJrI0tVq6sV05OjjuWT84/WJhcBTqqSPdMbL4McEUaKrsdcwL
tqzQp1287ZbEacLxLi5AkzJHfzGtb2qpObadbTOWbhKWelXB3JTIaKIrkRA/mSEIQl+Mg37Of/I8
jVk9VRqghG3rVQGykcTJkp9593g9OK35GqDwaHZAZQKYfx46Tq4RayiUOB2MErPetpSgRBjtw/Eb
SfEm6nYWzvH/Z06IuqXWLKq1cHPhS8kiR2N3yXAfBS/FODj5v3kGULRxMBENHRVdE4syeVXHU6ua
pQutm8x2GlTQk1TzWvIa205L90t5WwZ/nwIA5A+AHVgUhoXxLec7GpKeTlE2lu7QeJ2OKm/2q5i/
japsfNNKUD+zIwSkMGejWWs4RtTeDeyAOdQUEyi1xc0qKYhqJanikRVKd9BwwntD9MZwahojhi1L
e5iMB2VyCR7QJHa5zDhlG0vzymrTAC+W6Ft7+HXdadbyVzgnTJsgFEMtW3DS3LQSM5+nP07aqV9p
/WlRDPzZVRATpMAB9dtskpyLtVB4alJw1KgLpqI18RXNFpLEC3vOdRkjc/UDnqxKSAsiU59HOsCE
UkfHmjYbJaw3QxPf0jR7G6JZpmjEHU+MuydLEiHfxMzayu6wi1Y9/myiewtzhbIovEcN7FDp/bMS
2huGQmVnvLe2LDFee2idfkNRY5WVDIMdGVYbtfu09usEQlPVk9L/DMJXOzqW1bNm+43+DUL8Eu9Z
dd5/9pkJByVWCClmG5abOvEUzGlauuhIzeS+McuXtso28/g069FWCQcvTZ5n/VUbMtk7U7b5/Eee
xNlUN+dyrLD5af0zCx77evQwXDxP7iHJmg37YsFb7K2V4S3XbhEw0xjgqQYwSOJVO8+hOhUGrEaa
V3TPVvsQjJukkKQNa3fIiRVDKAykSdCXCoUVauBO73G7bhZtR+gn4eDBb9c/50r2YKpAeeqcwgXW
h3BqYmsuDA1CYy6zX5Qi3ZrV68yU50YtHKU0jwkFaJtGEuaYxKj4VDeoqSljB6MYYl4OLzS4SfCg
xHRNoh4hUOyYMv05HlCFswrNBC43b6NgCSGoc3dBG4OFpEHGAtGQqiMOafazdC7AinecGREOBs3N
POh0GFmmhw6v9Ixhng1yMNnUBtliBN+PFVsrrYrbsX8A8otaOBq7rXPdL1aiqalCsI2/UaF4Ibp6
UYPanlpImNDQNbJXVvqYuDrTBAVG2cdZ3Tfd0HG9o5iCl/H5x2EEvItShakquF+GX/X4bIXPVCYy
u3KqsKB/rPAb6iRiLCk6SpkCK4qFQikmG9i+Gfh1/xHqtTvKxqKt3bEAJ2ogYZqIlZivcG6usdFS
ItyclUP45McIdiTQUSZ9tJadNvpjv1VkfrH2ydBcsqCzhZY/KibnJmlp20bGk0Hwm70YKvTM8svw
rrGPtRFLAvDaCQZrH0cJ6FJOQzi3ZbdRSQIbtso8csp0z7SXqHy3MfCKdl8YFd4gAl93yDUvgXsA
y4qECfhHYUPn2sRA2hEWAf/GNBRMTDDCowbmLsn+Gh8FZsCJKfF9j55DSuuUm1JGPhB3p5A3HfMM
ltKW9THWV4UnFAOqEz1BIRVrQauuppCW7tw12c8iCMsfdqUp7yNpq+fWIgH15zILb0YaZcdsWayj
OZO822qYI72vlQrvO2IspfYAqL/W+/ES1YOn6pj8d333104Pkh2Ncb4e2k3C7ld0mtp+tkpkqBkc
eWO2DxSyjRkkG/Qycsbm47q9NV8GdAV4DoKcH6iLc/8Kzb4aqhb2oq520hIw9Y8J6bipPthxJPHl
1bWh7QsZClStL5obUGQue52vbakb7W0i0ewTq7ptwgpk2aW6S7My3mHxMizESlMFo4LB4mNgaDEU
W87XGFTQBBtTwJar8oMYt4RlHjUfK/JIyORF06E1fPTvru/rylrPbHJ/PImChrU0g2G3lYvBP86S
LV4+f+cFO5plTgfgbYfe93WLa626M5OCi0/zGE6WwU02vgqxT2ObL1vesNSsXaWBnV7tWXiLokxX
b4rqsWKv13/A+pIh+6hh+DRyZsF1cc9DfzDrIe+g3lal13ZPNlT0dcziRVE7nCVhaq04Ymk6GrPo
ywLBIEbhKNPrGGXdCjo/ZvBqF+r8ZIWG9rzEE9Fcfci6j9HU0x0xcvq7pj37zqZo8NsB0hvOhE7e
HjwN+o44jt8G0Tb7yU5Smm6V0hhHz6yHKPKbwUzfaKRMXm7qrZcojfY7XHRUsTQt1P7NcxVf8H87
KKZrKXhfVaDBURMVwFSyK9ndPOz72lVAMexBeg7M1woqCmiImD+nRjZpfu0uPbMvXDalakM8KcQX
DJd9krpG/FYlbqi6c/wS6buJvlfSUeUrOdaZSSH+jDGyf8KdhpDHaPilLndG//u6X3K/E3LSMxPC
dV0NQ7ZMKnY1iiAqDHyGqm0o8O8s3+WL13Bn9a9bXAmqEKeEkpcOLVlooQr7qIwaGxd9qdyFHWZM
Ah5shzU/4mBrSb/ZmilUbTRAmiFbg4ryeZxhTQ5eWAg486R8loVHF6A0Ul8nuTMtMkjNyh0KGhqo
NMhSNXZRITI66PhBR69yuxwdv+KITN9Pkq+h3l3fvjU/BMUJ7z+Ea06qESKZNqhmMGRa5Ro9BQi9
sIw+c4zMiLyx7crFmVuVRM7E1OJoKnY3enkC7ppXh1P+t0B49FhPfwmPeSdhHEPNDXXQVaDFo+mx
Xb7K+L1Dz3FO0XVZZHJsq/sLLSjrjxzthTAwcOthk/RYdra0pRNYELczteK9ZNa7kgGKcH2X106e
Bo0jAkwLNS4o0kMYBTZQcjgWNch0IWSAIPAQ2JbEzIqDYj0an47Ebwbx0aEaqt1pS1qhn4otCxyV
PKN/ytIfukxoZu2cQ5pLh8AV3rVExDkPBdh8BvSvXRsCKcVrNWPiQHuApG+uTNu8jPaI/te3cK1Z
zMV2If7CVPCWRCUHW2maCqrxuIPU32q6RbbuaH3sQENimDAFhX2U5WuovyaFREnvT0NRjGknhi2h
dDFVfap2OgwbyuDWPcQ4FC9hDzT4TjAVsh43cXBg9ZYuOwwuaY2HxnqPw4+lvGtlTruadpz+FCHY
Td2cD72Jn6JgNBnFuRw1YKRyj6rfE6t19WZH8mO4eMXshAqw9S4fGHz9O6y5MkoqBmhBSD0uaHGW
Huihodf40zbzE3ofRVBqKz+uG1mLSniJ4cjoKHCAFSeEWmJ1JIdwPyaao9EybjLyPci3NnfkZpPM
hyYZXBPY1+tWL5YGcAefp8qfYgC0i/F9qZgJ+R1QSJISghDQdIc6A6klfvwH7XzmTrACCQMT2kJ4
HeEMnYc5kDjCKNcXCPmDpOIbt5FH9rpX3MybDOPVFgxNibzJBePUxcjxYut9P7i2L6vzXpxf4UcI
hYPYqmhjqCB2zVsoo0NN4Ae7Cbz2Nt6Xe3ZrO/XP9NeROOl95dlP13eZ/+lr6+df4STMa4sdNWmD
9VNzdiZVd3QZovLPFl4zwYP/iQm9buzB1rA6sO8w79H4/Ew25scXPdj3UGt0zMfuGH/mj+W37m75
gfnuoeFqfvD9+jovgrGwxcLFai2Y3aXq+BENCELJQ6JuNH2X58cSsfK6pcuwIJgSbs4wUwvoPcGU
5WQf4Kubk1P9yF+Ow6vy294ZT13qW5JH/upXNJBvgbmKpEvs9qTFhHr5DMpypIWO1TO3ir6ur4qs
buCJCfErxrFaKCCdu2Xmafe1E+fbzlMc6/5bYjlfqhP9Nr+9NY7C3MbPt7U3VmArOT3YNeZdf5PI
SNoXGQM2GbATFAwIH+ogVofSMbEqvUKzztAOZDwUhj/bv0u0lv562VwNFzhqrsGBf4XQR7O8n2PO
O+6SuNywPhx2xcCaxbEKaoaexSL7Nlbz6C5kUV96TZnXd+OYZc/xoseHLCd5uQ0aTUmcusaoWGIG
2TOBVtaRJNM0o7Iy1TsTGqfxZzuOQOclZaLEvhnHM4H8QUyfM6YkkE9tiblP2rbGDmeaIquPXgYg
rM/SwalRAWAA3vf8iAZzGgYNFMJA/KWqP49F4Bptq+zHjhusO5QryGhs6dwDGjnUtiRTugz1MA+Q
LcbN4h6DnOq5+RzqP3FaQUEzJqTedFYavtuzXmHsY1Nsrn/QVVMg8wDqhZEQCPvnpiaWaEmRQEoT
gILZsbQi3keViUbzMMmANWum8OXgnoAuExCqz00lla6UY9ZCX36u2pvSNqtHknQ2qm86hCiuL2tF
34jX9lBOxzYCPvvn+J4E2Snu+rGtalxTbvGN3Ze7yaOah8dD7LSJkx47H/odx3Bre9TPfASit2Ir
o4+vLPjsNwiBT0sx4iYc8RuG5Ejpa2R9oCIuWajMhrCpc6qGfWnDxlLcB/09tCuS+Pn6Xl4G07Ot
FNkuzbS0GMABE8YybzQt22EslPf3JgA1NBiwIoyqIrzFAgqwNgKYUBJrE5sWxDpSySrWSDvmqQ0h
YA+o9hadAhu1n0V+8pC/2Ed1T0JfO7AtsvXKWWQfZ23nTk0K57iNrQjSDTCZLeDw55jfIKktXmb/
gOWdWhBcLMQ4WjQuYaE5Ws+RSxoMzqJPeC06+Wb0IBjq2vfWoXBVWYmR/+HzJObcsOB3eIXGKKI1
hWs/Zg+DB3Kn/UFvCCZ/2HvLz2CevWqvw20gJdGtWkaDx0TnFDeQKMpg0qHrYozOcs0ydoziW/IO
ETiwtj0T0jjTj+uOuXIRmLhXGa4AqE4xEU+G8MKyvukAfNTu52FwtCn0VMgkmZ4dbOfA3EpBMWsH
Gltr4yGOlwWKmudRsk+iklXlgEIpUj91OuTJ9751r6/qMlmAhRMb3G9PgmOjNwqaALAB/lr8e2jf
1NBLItmBuyi2cxFrFG3wUALD/qLJ2NKOd4YxVyN4UQ/Vs8ndgmxqGzOi57/tbgumhAVFIwmmRkF1
Oac3CnBmefRsAiMeMUczMSfWrRfJs3tlB3G0QHSlHCSOYsb5DoLmzkzUj3O3qu5rHVqlBshr89ao
lL//VNCTA0kO9W1TJ6pwzkJi1laRDlDshoL8HENgbYnvIsgCtkb9dN0rVqLVqak/r94Trwgqo1SX
DqZms3amtrif++rjuokV54ZHENToIWXFLt6wtZEjp6tgYhxCLw/0hxRsgSiVzfFbi/Xo//JBS+gI
U6zq/PP0GJszhtkMAc9x0y9PcXajJK8h2VPDs2MMJKpvlskdk7sqw0Spb9fX+AfcKoRG1EXxrdC0
o1yF+Ny42VELXDwDk54eMZwbgwSP9t5Pt+kWxNvZmTfsUcE7FhJSvfOibGWAmbWvyKEymEKON/wF
7FJVFGuIUwoB5DyE5iGORPwvUkaAXoHsAMTdBtj2fH20p2Vg4mnhxtUrLQ8LeZSmiitvRqZCZw01
X0D3L+s4QOrNZq6ZeJvSm3T0mFNsBmd6jG+XR3RDa2XznexkxWaydqihdARUBPqfwPYKh3qpaNnR
GgvLwZHuD++t3wGyGjtgMfdO7twPHtmyu2qn3wW7Zvbtfe5CvZI6ISTGZT/mkndpYAdOfgw53+V0
yZsqa/FjoAqkMScZMG8ghGZH95Bs8JxU362n2A3xQIrdu58SD+Z/+8KDT2yLd5BdxFpawPbwnv6e
D1BZ82vHeOg/vuyfy3bCSIluNx5Ny0kerW3JpzRJa4lrkeJ0+dzNT4JRXxtJ1fBvUfrsWX9HJRN8
dbqF07mTr9w+ksdKglm/rOpBDRUhCe9ouDavHQsmcdmPYQOOiNZt58id/fYWda/7tvXTh0libGV5
/JWOLgnXYLVEQd45TMtmaSoEwnSn5oqzoDwLXvf177gSCiB9AUARZ6KgJCB8RpuWdVzZGlwIrN0e
vSBDhn/5U0gRPAUwYYz9xEFFV0LU6QqCImqL0oJg9127jd6M0YEYPjhKzw/pe+SHyQ4FCRlOau1o
nBnl5/jEN4gS5YWdwyiAWNtwBzA78t9d+1G9WbdkR+4BmWo20W1+oyH6STKNPwWOixUjtqMsAB1I
5H/nxi22TKD2gvcKFta2vk329gHK2NMP8oC08LF4jT26jz/St/g52XaS63MlQJmUgP3GZ0/AtFDr
z2ut0aMgQm5Y3AbRXVzfWuz3SHZ/7TYYdwQYFSIvijwiecNO4wLjaFM8netXzXg3s7/3fdQZOLic
t0YvSg5F23dzahSFW/VAaKUeKe71XpKf8a8gfCW8D4A9Q2EDJA2xHUNAOTGh64XHnrbV8m+jvS2t
N8Pcq/QpoJkDMoVzfdMuDjRoJzADqA5H7uELnbuFqmLELVIzSOt0qaPNXqUVjhVv/z8jwmuvrqBG
HUwwQgOMeQNRVi+2rezzXEQNTqAxkLng8QH1PTG1VbVxMqcpRZ8B4NdI90YAK64v48KN/1iADQhN
gJ0q1iq7vqrigUBxdqqZV9SezZ40IDfVH9fNrHwSxD0Q/yjRuKYk//8nYSIomwrZcwUVxrpzwEVx
xvkt/OtkCGoZBqBfwPNCPAYI5XMjSltGtLGg3VRE+iMo8h4ttC0JJe/8taWcWhGSgTkbgz5BI9wt
MIEGFNmtFvf3uiXTvV81o2O/UEk2UHwUYtswoRRpLpCVGzJ67Cb91oI2NzQs/t6NwdZBJOOK9Coq
Pud7Ni8KMRsKlGsLuTWEcavWHej1Xv/6F2UCfBjoiuDsQz0IaC/xkijrAnVME8NGKN2MLPbLZcYQ
UC53lWCC2gh5E1m97yLoCCaFGJDYVW1NHWAKUMxwS9WPq+9h0HkpxlYbEORutjSW3Eb8L56FOdTK
ULbF5QthagsYk/OdtJbSrChXj7TtFqkEErIRSgFptTUX+2n4FwoU3B5XzdMIF14Ur4Yo0Pugz7mw
IRSf+syvTGjabsvELa2XFKrn2mMUvbNQ0g9cWyVQqIaBhxyuDFF3A3fJGOcNSkx6cwgjyANyPcmb
dmJOKYPOrYQm9DQ488kgGNbLRK8p0mypS5jC1b/P9eDYZ2mP9+Lvnsl4a2umOKlLhfw+rgzxjWoU
ZQvyDLyFmoPqtFrV39rR3B2rtlacLpz/RaTClGlwj4DagQq3eEONxG61ABQatyGmD61fx8bcS6il
Xz92a98K83f4dDGUcS8SWwZtY3gPOielllpeaoUWMI/FY6xlQFwV5WYuivd/YxGzGXRMVzfQmzo/
A7XVDFlTQzbSHuivbJ62xKidJWwgzGGnm9aUiY+sr/Afe8LLpJ0APLIi2Kvy+LcadW5bTIcJYmit
Uj+ajUxsaiUmWxgt9L/lCUd8RnZdZyk21C5GsOO/AcKzKWP/+h6uGkHOByk36DxfKMsU5cxsqG7i
Rk7JvtYfu4H6ELyX+Maqx59YEXYuzPsmTTiCYYrIRm2C976rb/XlK4wbSf93bT1oMXG1fiQz6Did
+4S+zEmyJDMi8fCUjQwDZRUnkgXflRsGNTl0l/EP+oTi1W8kxtwEClfjUjUvUt/U+C1Ab6kI2sc6
/p5bj9e/0ao5C04OHXjQJnVhTfMUQTybT21vl+pgpcdM/9mMtW/+qiDLOujP162tZIEWyM1IApDY
YBeFvKZRx15tgZd0U8a+lMz29SKWvAPW3AHpmY5CN9I0S2zS4xCpBmkRa/F43at94fXj/IlKLmar
Usk9ueYPyJ9A1gZXA1QN/v9PUsFYg3Z9YaFZn0ATVdcxYWfXkkzyBLgsWuF2PLUiXB4mIGcFq7Gg
LjPyn8pCzUMw6c1DSYb5RVMWCzPvzWqLXn2GkqTV3iQVOoRO0STsnrBxeDZzn4zD/u+/JLaY4cUK
fQHMeDhfe59B8CaLoISpseBBj6uHqX65bmH1Q2IKu44AAoE6EX9NQlqwueEWAFuOD4Oaa8l20rU6
AnUJQLQuGmT1oTWTKDcA7W2juAEXOl8USF960FIE4TjL30f1bUn1x4priaC4vLm+ujXfQTMGxRHc
ZlCKFO4Xqx7AEcGkE/AeaepU1PjNuvyAInctCY9rRw7tceyfhYY1+DDna4o7vSgXPocPEIuPsga3
HBQJyWIui1yCjwpGWDzTIDJxEpR6F2TjFmPkzMUNaeSYiVfWumtEWymJcy10AZiCvAPcZ1BahGCi
KWFjLRTglKrp9rGp75e4PwbZtJsRl4OmP6RG413/ajKTgoMMpTkHRQiTTVODD2w6k/3VYQpPGPgA
zhXxvwjOeCyD68BfzKiMn3+7YZ4HI+SK/10Rb3tLfS/U6lBWaKtZ5LabY0/JLf/6CteOAHCOfK4R
moVglJ6bjOplogmmlLkWeijGom7mvLgxSpTKbSqpplyiW7nXWGiAgrWKcp/YlCQW+BBljzOAiZQY
KD46BnIFK9wk6ddkOYp+VwfPFtkYliSkrp09VC6RjHOFlAsGWgTE45IaHNXUWo5W5A8QPt8EwNVe
30ru9OIz6sSMyD5rwRyE5gHMqE3oh92rgrpzXW4iqHoMieQqWvtslCADx4sGvC7xjR1SRUtIxhPk
CQrgbWD/ZPVouUo3Rc7M0u31la2e99NAKXhJyAYbmBt8LbPX7+LmqbStEuyucZvRcEOW7GNa6HuT
3yembObc6kIp1NWhiMxU/IZz/0zAUhkBuOCgfUwXyIhTJhgvYxAnNyXvw9VF4q2PEg9OHijVgim7
VOZlXABiMrvO1g4d08PsFslmNTmQtGOY3zIkre2YI0nvwF2InkhE+hsbk14kdZrLNeM5h8OIX8Jn
BIkpDdVHOlbIAlzUb/3RdOag9ELoMhUywvqlx8IQVFrRh+PvLNGQPoy01xnqm0F7LMzPKYciTLHD
UxU4GsnhuDyD56b4mk9yJ6qxSp8MmNLmxmmZz0qkUbIUQmZEuJYGStta4wCgPPDD9gdTBijZSBKh
NRtAcCCQoF5iIpSdLwRDghp1CgESSDGuycyGXW5lG12RyXSumAHgFJcAhoUhaxBLz7OGG7b6I9/W
Wt+ZamytAEcurEJJIJHYEYH/uoIQN+pggEFYxIkqZdMqkx9Q2fSXVTMgovH4i5tGFINRGOSx29rE
rs3B4Kp2CQaTCUXPrg/+/hhrgIqAsoHiCpih4gsnrBuc4QwqiTEmuuW2DwZKmtzaZezZzacJ6S0b
o6QWGXL2MlPgTQ685FDEBeBdlGYx4zZKghhWMczuW9U0r6TCxaaiM69idBTFFLY8ZP71sLwSJ/gs
NJNhlSaqkGK6oIdJ1i9xiYlR6mbQf2TzuF2Qnsx03Fy3xP/S+dUGR/zHkuglQVyG7TTBUme/YA4N
bh1fAcN5mT4pwW3u17L2gcygcOFkXRkAOwuDUVtzcoRh3SXjxiRvsWX7rfJuySZ5rO4lAaIEHDGg
EsQLtQcljE5tWrqaCXRF9DiR2VMDZ5DNyV7zE8DA/mvnQjy0KSu1CkwsLNF01HTfDLa4QeIq9D1n
b7Yik8e+PHeAcABkgdaFZV2iZWlc9TZDp9NNm+4FpRlM3iWJV+jVKMmUV29PDEngzRiOGxHBlwnV
osyukUiionLQbegjpmHtB230GQzjz4WRVzBCXFIWDxoqa9fd8/LNA70GVJ1w8PldJkIurCUaoxDK
J25t3pAZ0mZhKLFwuY8ap+gg3UIXgL/gzqP+VGcoNPSIXxX4b86sjomfdjlzoOgrU5pcWwxqx5B+
/BNNxJc2OmqZAklzwD3DyqH0Qfp6+5OICqcZo10AoUKc5Mp6fLEnd3HfYBxCEyBWTbQtIDFNb6yc
dhtlhh6wqtznrUEPARmPmqIcbLvZK6R8qevltiJhCLlixJo2ekAPyUD6NxxK0u0CBRlZqOqDJO5c
qiUhKYHOFS5aDClDGiiEuLEZAB1KI2gWKeam0vKdGgH3Z6peNTA3njCdIglcdfoKF+olWuiyQSYv
tvLlMbSaoLoEuW483IVI1FYBOpAzF63UDuFgOWHzRDQiSbDXjWBmJbS90GgWow9GvtZ5NYcIdzg8
QatuTcwhM2RCu38w1sKHh0Yy4bRa3BkXtYE2M5aEMAQfTEfcKHc/QEP/Dmkiz3br1tnOX83bE4f6
FjfH9L5xstdn5Vt0qD4tTwqtu0B18gYMnpt4k1kA1otpfZ/UhaanWHA5pT7Ex62Zkz+6aQcpB69p
em8OmietamyHtrJQtbrZeKhx68jhRPkGpN21HlPYNhL2fZ46F/qCN1kkA3eunGMs8R8z/MY5OWW0
aCDi1sNMXKLTlJl3XRR/XI97K7ckb07i/Q66DiWiCIldV0uaK/ieZvNkBHdD8a4D2jU92e27Yez6
QJIrrjzgtTN7/HI7WVI3d3YwxwkX3PDK5i6FJDTK8BrENg6G8skwzXp8UaQKymsbiX4CpIQ5jASj
F86tpkPF6qrJoHS1w8hA+1H1S5d84D1keoaX74dt+vXz+r6uecipRWGdmNJZ5hXAVWjOqPezXh6g
9HIfK+9/bwWNO9BLgfBEXUuILGbNADDNcq7UNPtNN+/rpvVAnZGVXQj2Rzz1GMiBYw+kJZQL+GpP
vxob08meSny1++g4bYZ9C8Ch9lkejS8wmmWQfpk1we0hWRagSg5r3QZMtp25jbfaTXOz3EFMfAII
8voervkG1EE5xg8oo4sGw5jYUY18HocMc6D09hfertcNXGLTuPzsiQW+3pPds8Ai7dUcFiB8ku27
d+KCIIDWqmNqXnocDov7HfXjv+/XAdGCGwesc7zQUSs7t0oSUEgHs0WMUr9p9KATf8xkfrGSigLc
hPY7OLqcLiOcq4A2JGimEdKq++Tevv1m/iR7drccVMyidyEL6oEN5CoyAaq1swVIFZ+YB0wVQtf5
ygKM3S0BAEDMgnpN0ZhOqKPCIa1Qr+TzHLn1PzPccU4+Gwa8WVFTcXm8eyjXDx4ywtK1vwFVmG6t
2/LYvJq7+obtF0no+FOjFU/bqWHhtNEKBIIqx/rI9nOC4eW+OI6IWhv9GSWzX9WxxuAkSO92gBii
c/6mHPy+d7Pvszc7dC8FAK9dEac/RziOJmShQ9XEz+lan+6s59YdbiDu7ZNnLqmzmXzmGbv6GN+n
b24q051dNQ4QGBqb8DK8IM8/QmjaJUOVEKfTvOkxQ6wFyXV8TCOvCH41UNkoJW//FY8G2owPYoQ2
BDpwwt5nA9RZGRdm0mMVY6Mmh4yPXfkQ25BQSGIAviUX4oovY3Quh3hApx1kBL7+EydT5oHWqAZB
zLIYMBjU/oIIBgIF+WsGGG4+9I2AQePPAlSwz+0UulYFUQzhwM5ulMMykg4taTpJOkeXoFSYAaaD
KwQj6AHwe24miazQzMcZR/PF/rSOnWdhJBXGXMcOxotNLlQhDkRzlFt7E8rgEGth9sy2cF7rpJlr
DA3BsXHb3/lrc8we9Ju8dmw4KYPwjQsdvupFfbse3VeujzOrgsPYaQ2HyWC1zW+m4bWUKdysHACM
kUclCoOpQOUQMYqkt9IScBxoFzZ+paKnkgJO8k1rj1Hqk3A7yyhZK81jfMITg8JtVaUp66qKG7wx
t91RO1o3yw3zlV+tN2PIhKPetLvrW7i6RA4sQeUEo+lFkAQwhXTsVPimVU6Hnk1bNMwck/3WrR94
ZzqBZm1VSzZPdvW7QZsD+hnQX7vQYR6Hoh5TPEuRwnN17vEuh7bN9XWteiSWBSUkABn5cJnz02D0
elRS/OuGKItj0n0W72P1tkOtpneb4YXMjr08EDwI4+9Zvx2QXMky37VVnv4C4WOmdBqmuoCcIQkW
5aBbPbk3avp1fZ2XMZMA+4cADa0+NKd1/iNOYliuYD711ELlrU+foR1rJoduuumMe0U9GMav67Z4
RnF+N57bEo4bIAtKmfP4PPffLWNbgHcyHbX4liWSjydblHDr8Qpwb5Qw1IEgZt8lwQsLwNR6Kovj
RCSXzkrlCz1p9NpRbWaoERj8x5zsIFPB0kqBE3Wj2N6X0RukCt0kxxAzC7InBd3O05caZs8Bk7no
2vVz6h9CvG70VMMZgIcmqeor+G87dHsrlt3iK6nUH8QLKHDAiCJZPF/fzNQ5nhi/ffBW7irb1abU
0+L7uiw31/1jbUEcW/NfS392+mQnabPEcZRDezXTlx2EyKB4lPjLaD5dN7O2IIjfAEuARjvaisK+
ZalWJz2aam6IlqXFwh8TxMZVFJhA55JkCNqKLeCSGGYYgG6BlF7YPAgY55kewhZJqpu+Dx+W2YRs
W+6gSLNJ026n6g8amMdZTRw23RHt2TSbY9hSp9Z/NGkqWfraE/7094hb3NWo5bc9fs9Cg7dy0Hyj
0Q60Kg5JGj20aJdkoB1YKMoApABJtOKvow1yJZBCUKsgXF5OeHOMA5nTsQMXoGiZk2v7SXOhzZNB
QT9XULr4uP6hV/zJRj7D8ebA44IEeO65ixk2c17FsAYZuw4nMfu+DBJFN5kNIUjToEwzFkSV28SF
swTbYg49DAhzrq9k1Y1OViK4bFhXk6q1WIkBVbDuQwF7N/OixP//rAh3QVQxzALusRZzhsImsIF7
VFmJ/e26lfUdQyUCGoMcVikcCVtbEgtuCFk6DYIJGJcOcuTMJKFkfcP+Z0SUvoymflSXhn965bYw
7nNrl8zu1EvAh5f3DNwZZXrQg6GxAuTwuYPVhRUkk4UNU1odeXm3r/T62BtVhqHsxB21YEtGWQdp
bft4nwPMJzwGoGl4bjNLrLRhOa4b207QTmVHNS+2rNNern8l/q3P72q81xCyeMiHIRGkX6d1os0V
1MmQ3d7OCxiawY/rFi6zAV7MQ94IQTLouYgt02hse9LoeD1Zdpx744BJ7Gk0YrJ2W3yOc9IjLoa5
JP5dugW/q4FhRFsM2s2ioAs1W9oveKC7EF7aTwq7qZn+mDTmLdRZZV2py/URTNlEXQ/gCqALRaTA
gtSqYwZy8S72BvZh6H7QH0bjs1fdv91IGEJJn9PUEFzFOyYONL1vS2TDVf8+mR9Bsw/714YcFpnM
z6VPnBkSL4+2TC2ajbifteYd7HRnmrbXV8KP/rnTYeAS5gbzYh6XkuS+f5IAtMawlF1nIqOZbpbu
wSy2SvTWhLt6vKnITdhKipVrX+jUHPeWE3NlWCR9A61BjIqZ3VndL3OzDeJPZcIcWhmud9UWyPQg
GAClDLDNua1h4TOZgI93F/W1s5OdQZfHUm98pekdQGMkecdlkODqexyDbzOC//Jfc7IyqnRJWPJb
aRxzTHHajPZLUPnXP9baWeL0SOia4D+GOL+9TAYbszygxNmXv+j8VCfHaAZSUVKmXPM5kK+gXIEk
lAtxnq9E0+q80C1uRXs0gxgthsfry7iM4XiUIIDjFfknCglb1at1VVQ1dEshd2tWLyT4Co17Pdnn
c+qksrrumhecGhPeCqgjR33/H9K+Y0luXYnyixhBb7Z0Zbrae20Y6lYL9J6g+fo56Jm5qkIxCiG9
xY27aEUlE0gkEmnOyXEt2YsOgsudYd0bRu1a8q4T5QLWTMBCbgqjqwg/zwbR+9EeSyPGwjUN8Afa
jZOhDyUWBSarUjTGk4AxWXZjnG5P3FYGKsJ57TnS/ezUruo8SJb819EPtuhICLdqdjNK8LQQsuBw
Vrsu+VyUvaxkAjGrm4P2AcSmyBufoVaWNYDrswRi7My4KoCBsUUGo3N1Mv2wBvNaJVEhOEKrEgHp
jD4vtIJgrIpbPQNcfXKE6ygqfrHrvLO8RtpJY+331eayma+dViQR/58otGiciqJ62XdpBVjVZt52
2a4BkqBjIIQUiFm1hyMx3HE1I6MZhhFiojww6fsQP9TJy2VNVhcNNRkwPaBocdYl7aSx3qJh/xvi
m6Zhb+xlJ0JfKFjDBa5hVRk4HxnTTPAO/OxvDLScUSugzNiBU3TWvBRzApM+C+7v1a05EsP+fuSs
82IEqx0Tkw0FEtXelASzYrp99Q+uFGHPf+qwhT2SA0Q00PxmkNMaMej97JdyIf+y/UciuJOKRDUp
UdwBpi15MJLbxLldJkG+ZX37/2jBnZlOd4bGYIbcKVkYk6sh2zQEcIB65VLh852ZKx+QHC0Z/4wA
eOPYNTqEDWUMeLCRjQMuYID5YQ6231tFQBfdb8whBZ4u3WaL87+tJx81gPAtog2BfLjXQX2i+ibq
RNUFgZUb6qlZAOA5yewaMvLW8a34Vu4d1xL1/wpsnJ/uacxqVGQVQhTiO31A7dBQ95YogbRqG5gt
Rh8aMi42P/yiyXMcKxOkjPVnVLrNHND8Po+IZwEi97IXWskP41I6ksWZeqyMyWRRyFI3Sjjsk5vq
BjRq4bS1FhdQHgge7oat9ddvZyYUg1hYLFxQPKRorFsdcpA13Kv8pAGCsPiyRB6cffeZyR+JYAHZ
kZdISd5rdgS9zBIsGB+T8jNzPGo/2iOYDnSBfa/ko04VYsZ5JC2K+1zJGyhUAwAocdX38qp1rWtp
k/jORvt1ec/WzePP6nGO1qIgTxl1vGlbCZDMyQCylslD/D0aH5XxclnWOYAXnn7HW8U+5kizrJ86
o4shTJ63RSB7yYvukcC6oft2C96lZ8l1Ahr0e2mjbdqHxK9FoZloIzkD7QihclNhaePW2KKBgU6v
BjqEFe1dra+p+g8vjmN1ObeMVsOsJTqkqaX+kVszyOBUPZxbZXd5XUUW893kdrSumFOq0byIde1J
0EZPRulb6Hpa0u00+JW5rRLcofE2kkVTREyBC+eCbzJdlCk2agbXHrXZC3XSnTM9GRGTidF+JwXe
U+o1rSACEeyhxvnmKlq6mGQQOgAUvgBcVTN6wEpQu/exqNxiFKRnV6+CP2efbzvBmFSTycy9lAPm
iACq0fb1Qy5ZAq1ES8m5GFXqjYUWECNXn0bq1f3eGiLkALfx6M2O24neDyK1OCdD8hqUOxrkRfO1
1d9U1ZPaPF42S/bJl6yDcy20yWukkiBiGR+n+UMTspaed0yeuJOzDmQ7ImZKIcCe+pdllh4UJ3Vr
Jb4HQmEwm8ZVUt7WOUYFC1N04kSiOUfS2mojpwlEm3r1ohXDIQWxmWXN+1xP9q0je0tdupViBsYk
C+6HdftHlA9Oc0ysfzuDo8NeAidk0HpcRqmke7n8KafxJi6WkPHHFW16DegSQU5o1VYQQGAsCo9m
wJOcum0Nk4JTnrITZ4yB2YxBqejAl/qX5CAgV/4Twx1sfbBbJ52xpn1Cw8K2vXZMbmmi+oX2FTsi
SJ6VMhSs56jKy2ll4uWX6AUKotEPKXYZMYC5a67bLQEyzw430B40tMp7uhN1B6zu35FcTk2z7TUK
dAuEfb3i9kXmOcOmB6C7vLhq9Qp27cuncPWCPxKnnW6ebqQLyBtRzI6qFwm9w/ZrV4HLJARD12VB
ax7sOI/MHQlgxZeVXMIuJzXbxMQfq/th2SLTEjiSS8ALNWFS8LLINd2ORbJPOjoKekHqJk+QK+jy
34V9JQ2/p/4ZEKFeLGn+ZVFru8YevIxqCqPkPN9UO9B+AocWnFkWWhEwL36o9iGaq1BVfZsYAmnr
BfQjcZyRFJWl1UMHcQ2iFEvf5TGIIu17G11Gi3Owq6AuvgbTFIhde5EcK8nbSpz3Vs0obyZ0NE0b
WiFiR8OKKQLCW3Mox3LYzXG0b1qFseceuSWvGn9ksifHd5kIuJj9BH/5sJy5agNJmAHinYpA+WQg
ZgOfVdnVDa2jB9zhgktAJIK738pKqu2qb3Fl19EBzRBB04keb6sLxSZRAXnLMGQ4A0eip0lKRnGo
ASFBid87eXJTEdbk6sH9T8jZ/BWSU4ndTXBI1jz/WPqnBHScCZKw00cnPaaJcm8DsvDyaVpdOnSi
otxpORhl4XanRLOBHXXYnWz+0Tp3+t+jWKCmdfT73NZMcjlTiQVtiWlubSe5jTPU0kklBdH8L/kI
YI3aqN6jF1Hj2YXNmCYjcFCwR0B/cIklFW4y9PsmFtW01o3hP0E8l/ZgTbkKMldmbwjz69f/Oy8s
cKmrLuCPNvxdD7rVwUrw+kQHPoboc9cG7s7wnIhYs1caK7FDgALGNqHlBAgIp+cTtWDVpmhH9uZ7
QGRE9/70We0BMB6Fxa58JZtpX25mP9tFbr4XdQCv+vIj2ZxzLaWun20NOs5smobksRcXCQbLpgRs
guDQyfLtiBfMZZNfuauAZojpaACboy3/rMOmNNIY823ouM6DhPo6BXSX21a+JOIIXXsNooMdAEBo
v2WwEtzhyoAEZhamg05AYwj0udhI+RJGYLfN22Xb618ol98YSGqlM+NEF9X/1/REIxF6jRkSA/5/
urHmIo/lmKKbRh9AmqblahkoY+a4Q1b1Hg5R6csxICMvL+7K0QAtHbZURZkCDp+zphI8ez36jGG1
VrwrCTBQSmQyhr8fHVVPxHCGA6bAeaksxBtosWzVwtUH4o6i6bpz6glg1Bwrw93CS+YshLBb2Lgt
bvLbPnTcJLgrQ6DzLSBdYlm07oNeA37FEAEtrvhlDPZhygI9Dpjq/E7wHV3MajmUc6Sg8JdHYHRx
lo9xBlrO5b1aacgFZQE4WFGCZdQ4fAmBLkZnFgOqcOas3xUUjV+Q1l+BJrLcS/OM1MEk3SHnZl0p
iOM8dUl/AtgDLWImzdyEgHop/XsgRPZJGAoAyhJAJvgiez2rcjFp0Jsan0bzmJHMB00QrHcGH6wj
uPzWjPVYGHc5DShxy7UJYROZ0BwlGbOnmq3hSvH8cXmpV252qIUqMV5tWGfe55QNEjFOB3ttZ5p5
eYynTZ4kkq/M0q6ZEyNsc0dxAbz31U/V02XZK072xIqZqR2ZUknNxkxYmcCY7xTVU+l93z2o2aFA
6k8J/jdZnMfLaaMsUwdZZBoP5WC6bdp5Ou0CmsZ3KXXA50cFm7ji5oBrgKQzGoIA0G1x6lEHiKSD
CVwibN9dDbzxuMlDdO08duhnMC3RMMCKzaDjGnBcaGUHkoLF+QSkhHPdnhgm0RAHVdt9av3kmZIs
KIetigEhC04CvOhZ8xYrleIgAI6IpvVbSSUQTbZ3jvDyX3EzyHSy7gVGdgBRp7ZhJWZh6DEQbECP
agR2k6UPshm/LRlJgwSQ1UUEpvLUfK1wSbt0Ma8jUmiu3C+gz4gaZ5d1higIXtvP70FjLK4B5Fru
UBZGrSRLA1QAqoFeEz0B2XJj9J6SAYdVcDJWQiyEiajSsmekjCr9qfYl8kZxl6WgOBkH5TodSAS+
zn4EDEwWjcCdkXpRu/I5aRd7smK8DH3WBjhPvom+jw4jetrKOCWgB0latwksF7kby6Xvb9WmcDGa
8KvaWCiz5x7M+bB4e+PXvBUlqdf23AI+E+tkxlwuH/IDZblSdA2f0C5okxrU1E2H9PWyH1gz32MZ
3CYSsNBS3YCMyF7aDRrElJ3axR9W0YmyR2faIO2AKA5MNegiATQSM6ejBQUfLdCISAWkfFl7tebu
vsPZvKzMmkWCxsdkyKHo0+WdN6Vq01FmkQ5g90cHnMxlb4IWtWwVDwMmgAA0RVqtimQPZuQV4QH4
1GI8WQRD6EXhTRMYCPcYh8R/P2YAmtSiktpahgOD039kcbGUnpg0NXXImlGLLGKQHaYAH/bATt4v
vqbdz0g+tFJweU3PmUgYBPeRVM6PmgAcrLoJ5MFjkbEHzmSl16pSdT+iyJ6v7T7RbpXINL6icbLr
kPQD0CByU452RFYoWGfy0l8WVcHAojTJO0ehLQXYdgc65FobFABUSI7yGXfEDMaEgFiwH1O8KHJV
q7dRlpDnuNRnsGhLfQz6YGr8uKzemlWqwI0C6icIdE2+xU2exmECTjAuo3owMR6GoTiJiFgizowE
pq9jCYFFjPcuUFpPTb9NrKpG7y94cHLZtccnrewBc/gg6Zq3aILM85mrhCxM+WFUG4iUCO25Y5ZE
BXVmYH56o/1oRr8lxS+Wu2F6ubxs3y8iLlnEKH0YHboG/G0eNQigttTQBnRMaCFy6tFO8fF8cafg
U/HBYhcO9yTQ9gBbk8CzZbvpPt1hTDUotgindtPVHJSbwR2CR/XQPJae6OG4EkgdfxwPNKQp1ShJ
rJ1jMTCvqT0Ozg4fGeub0bouqaB7e82DHq0En+YEjLvhSGwlwECmqu4otfKXMjb2wyAl+fvlZV/b
XAzmIYJSAW8KsJpTQwIkE3qIGN2RTKb7VPvQq+m6Lm30jiyiJwc71icbzLLE4HZG5yc6TdHPdiqq
0THFWVoQ1XaNPw17quE4bp1qK+lXiuFNS2CamLwa31PrqhDdvmt6IssBH27AuoD1dSrcGUDYAPRU
cAWWQDOxNpa9YyjhCTJSlxd07WV1YiqcT62LxTILZirmfRsHypUa2CAqBKoj4MHD8iYKZP/3ZZEi
e+F0m6FE1WTs5JCHXt/VyiYSgVuvYPPgTP45nXyorRvA4u9GyLAe35Jg2VE/+6F68e1B8e6W7V0E
UjpXPyShFpDwsnbCBeVM1FgcGIwK0cNv62l5o7cfqAltUEXZ3xWbCXh3gh1cX048LDDDCW/H+1a1
1pAYGHDn58bvqbwDlqJwdG1VBLDMGSqVhQifc6mDU6XJ2CL2lo0ZiMmyiyxAkNUizN0VmCLsGqYZ
YPjIAwEk6tTq1XzI1OHbMpLKnWf9g5SfxZAf1A6+cs5/tYrlKXrqGUW2XTAdQrLkTrB7TMTJqcdl
fxzTc7uX5XKvtBozTnT+BpgReZVBXxcaQIRGsJsCiM7QH+XWzl1ZTq4mI5HeLSBIF8pgBngi/zXj
IPscJMTg68CagYfc6YrIwJnPNBb3p9pXrwQj0GWbZWsO3mW1z9wNJ4ZzAuAzaUalhpisuolSv46u
hxQ7YAiGvNY3GPOPAMsC1RB4Ik/VGcY8S7omKzySWWlI0ayUOukhnecnZ3iNy/y6zQevAXb7YEph
mS87Q327rOk5XxVT9egT2NV5HIUraUwKHZ9gET9+sms3jd389xw0wa0qua+jTx6V2e12zo6Obiq4
Ks/iICac3V5ATALBMz/LQklX4LGBALbX0aj8AmNzp2rTJr+KUfAqX40AjiSxsO9ITYAnYMyNhcpt
b/gO+L9iQHZMYEJvqm0yjLs6GgWbexZIMt0Y9xhygWie43WTyEwxhoQwGQOjk1tk0+y3gy6itFhz
RTq7lAEmg+zU2YGYEx1j8iVWsPHT7HlCuUFefIGNrHRqYBJDxsyRDRQMIPyfLl6z9JbeSEjQgF12
BGzR/DLYYbscbJTS0CCtWL4VPQhkrm3YsUx2RI82jCQRRgAcyFTx1K0wGQxXU/+k2o0WhY3qL+Zt
3HgzPJH01qhePg5uJft9sTOrnQME0Mtfs3p/IrHJcoAsGcgfVKfs2OQXo8SrrojjGvpXNN2jtU6K
3FFFWI2scqBg0KO9NbIrrfIjG5a1H4agHt9z0Pukglt1zUHpeEIg4sOun+V/nalC2icfwJ4nfy3d
W21aKMTYnq6I2tP0VUngDNNZvcU8KwtYTkTi1oSkLsj9aqtvED6Eip8fqOrSrRG+ja4SWreJ69xI
brcZqIumHe89DjSvANzPdKUE2a68sdHL4G77txlBBn1ZNpF7X/vRdRy8XN6ptfOAVxUGRxhAzNnz
bci6bjL0EeEbnpawnCW5s/+hiIi7H3EwA3FAVMpdQl1iV0PSwBjKGdg3BojuKmUrKZ3AOa5knkFD
hfMGpF4MyPGQRmOWVyQHnD/GBEqApSyjIt9S1IX2rdwUvtb28j0d1GFfzL1senMRl6+X13KtimIa
mMRCmgYfgSzj6RmUly5qqxlfUMcbVd7TNoid61LyimZDct9u8k0r780ayMv6Z2QHsf4et7touEtE
nXZrpc6TL+E8UJaShKQTrDB7AbLg4rcfjQ+4Xe9r2GTo6tjFB+MuDuxg2Jo3ojaItROAHBJrFrMY
XS+33UazANjGhmwJ9QbF2ALhKCEvziJIPKxZLoIalO9Yak85czFj3swK2kyBYKVs2kkJ7S4O5kgL
BJu65swxw6cAzRzjQWcgJ8QwaTd+s3vOTk6DYoyN3xJthwyA4GoahU4yRABYbfqHHMlVy6OAVFQQ
WhZx/y/3CoZLcYbY9OxZDhuBnNQia4yV3aKBbABRJbjLjTaUQnB/a4JQdm19j/O3XEynpP1gRYys
GrTLjvajLIC3Jipurl1axzK4gD2Th7qJF+aWib8gRQzCzxyltioEeDiYJS7v5JpCBih3GLA86HD4
1k3MLyaLOeB0Ss2O0Hc52hQi77+mz7EI9vejS7iptRmlB4ho8D6UosNiBsniowEck7Q2Ku8C21zV
6MjfcCdNazKts1smjqqeXjjX8WQEc7IIYotVrY7EcJYwNI3Z9A12CVVRNPJZbeuW0qvZPTnSrhYx
YazG+MdOlLMJlSTqoo+Qhux2n78tIB2Li2eE+HH92ttBVSED+CU3O7QUCKKWtej6OJXPvS4AIWFJ
pMRdmD911Y3Z307LtZzeJo+X7XBtOY/FcEZS2GPT1TIUjLJH0ukuIDU73ceY46JvENwLlFq7FVGM
RZeQimYu3WHe+sgkdTqVKqETAvk3YFzasau+p/voYSZu9A/WiOo6HD8oOlH4YV9yJKk1ehNTJJAk
G1d2uslVEKj9wzvzSAQ/+a7OWtuMDduh8XUZf6kA6my9ot1c3qC1l8ixFO5YqYmaacMIRXqg7ahD
585U4MnXDi6Sg8CsA7IDy5ufLhVIHVFpMUDmXGoHYyrdYvFNTaDF2sZ/F4tlXMTIMXPnyJnQr9Op
JgLRGeWUzYJJzQKPOADiu1O96cvMT0eBBawWWI5lcgGQWWaKiQsTLpZg+qo89KR1e3olF+E4ex25
QeNKOwoMnK0Vl3EB7h9wYg2wtgHNktstqSdpG5eoDagqRg/RDucUX+k8uUv7oUXby5bxXSc9F/ZN
lwmIKTwlTjcuyTMyJG2ECpKne/Rx1N2icGcwH78kV/1OCwsAkZYPTu5OILa/c3bOZihdxzfdNNA7
T5QOWMsVQvf/PsdkscvRkTOrKCtbCbqXB3tjeuUTCbLraAtwwPhK2yeP8sNl/YUCucUm49zUVQr9
E9O1dwlwAck9oN8ganqJvHxXb34JJDIzvbDipnqq4jIWkUYzSBzRo+9KbuZN+zS8W1AdKTHzJ2Ka
XXu5niwpd2ziYRztooG83u8P2mGhnuNmbuWWt7on/6xuiPtqtv4NtjgGLiPcaShQeMX7nHwAd4ZK
zPIDcfb7A7rrTg1hY2b4SfavKANFFjoSgN4rQtBcsWsUu5BSY7RQcEl8d4RB8qG0KNoTB4M1sEa+
aVN3zgJqmZjs/mWnKAcbbzUyWw5IW3UlRMXPzQAvmC7XBZKtQ7fVp4NjPfbyzrQfyFACUSP3rS4s
RIAK5+edfSqYT4GpgKo+7zvlxJnrpcCn5l2QjA9K8Y4sC5WRTJi+Lm/F2U6gh4kha+B9ARSPs+Rp
50iL2cUgWR0qYKw1i967YJQV4Xec3QVMimOwSiBuzjP/BWLl2iwT9L8AjmzZd1X3PDkqhptL8/nv
1UFBU0VnN7AVkJg5PUlU6yO0+eHBJMfkZ4HE86IS77KIs9AGurAOeJTx0aAEFuNTEWCI0nKkJ1HK
q99n7bFf0H2J6gVQf8vkxTAF183ayqE2gawOoG1V8GqcStPKes4Wo0XpOWlfDIUc7Lh9cUgtSIWe
vWdRC0bfIASxWWY0fJ6KKfLeduCAesRrv805cJIns9vnorrPubFBCqIn3GNIHKBl5VSKYXW2E89p
D76JWAv02iS+PieiJVvV5UgKFw0CQBD0jXnWA6jb9ovB3qiMpUliFRGBHzs3BaYPaKUBIITYkzeF
Ki8STaGQhDQgUroMrjMqfvao2zu3UiyCsxZJY38/uggXwKWh6zMHiUDbX2kR7dym7hK3pkofovNk
Bl2YmbiF44hesOsL+kdNzgaHDKyWDoGa7fxYFwra8MHZtyD41QRH6yycYx0JDCIcXbKo51jc0dIt
OoCOEH0PpR25Zm/hIQS8NlUKMjhlZJ4AsOl4o5Zv//ZEM7E6a1P9Ptqc8TeJTjKlhfH30w3ijLh9
JMqOFB9xPaPj0RIoeR5Afmv5Rxx3+VVlr1KZQhz4ZIPMuLHKFHnqbaTdGeNzkoTF4CFw/d9U5E4e
rVEpyHPIJP333FPZInwzbkwSyNa9LXpcfNdTTwKabxXRhyiDUw7QuZy4aQLIkm2gMd1Jng0ZdcJN
J+0yoPWm2kFR4TrRBWL7FnzmZTXPc4KcYP7sj01kgmes92hUHuT2R2r/rOrnRuo8NOsjO4nzoUm7
uc/cAcS2DqKcygCibqFturhyHWcIozr15VILTTSDXP64c1fOzOzPonDW3TcdAEskWPeC94EaPZTm
WyoC1j4LHJj+QCRHnxnrJOIThm3bmlE7Q4YU9y3GnEvk3+ORutTMh2Aeyhu8oURltPNyISeUc0y0
sBbw1NW9N1vVczqNG/AX+XU5ukmCOT60lFKUuNLmvUY1ODV+a9lyrSvPuSy5mkX90ph9XVsObVRu
Li/4uhkerQbnuGSTDBOipt7TJuSjpVd12FK6yedPHS0/5RiQ+toq9nTYXZa7utEAHAUHLxqfUCI6
ddRl2kxxqrD1mMqtYQF+3yZbtIuL1DvL2n6vO1oN4N0BiMUDnThIKqLUiENN29mLQH29GEB5QMcp
wACBdqk+6XHlUyu7n5dYIHvtJmc8bf9fNOfD9BH4aQ7zYYNJ90nT7DRDdBmsr+IfEZwPKcF9OdQZ
Ns/pp3BqdbgQsBnryj+5jCNVOJcxmqWspjNUafCO97Mt6lW/ky0KGod2W25L27tTH0EhOLqIkbez
4LEpUpIzlbrsyZijS9lLssnvAEGcm10wzoUAMWP1Yj3SkTuhVtQNVscuVjvZGUtoVw8Orp7skA6Y
j94O2f2/HIA/W8efO/CZokaEJc0VvxuvTfNgTr8uixAYIJ8VSNNodGoFwZBUPU3arTCIXP19vIlY
NyZ6JfnHotYB/sZemArlbd8+Ns6/xBygGUPVBcCJAKI+9RFmQSsr7+Ajejk7jJnpakr6aNRPpl5v
WzO/olP3cXnF2C+e3clHEjkbaApTbhwVEs0ZBXFvlu4aaWtUv6JeYGyrNn0kiNv90ZHBZzRDUGzf
Dp2BgTU3mf6+WxYXHR6tGiCm0cTKX3TZuEiprjVwQCOutyKfdvKcV24sv8lz4/WLLNivtRgYzVas
xUgGyCXPbKQPVRRVRcuU2nb6q634phP2VHBzsD042yMb7B4wCGDVnrF8ICVCbBNLR8zcb3s01+QN
7u4OUFZbJE1cSTQIvWoUfwQ6XHItBt5FUowQ2FQbW71p26CvvmTwRoiQPUSC+KSaZDdkaphmUoPQ
3gc1b5Z9qIrnLIIem++3Kr+IANNApR9YwkgCcPZXWDMhc9wj5Cvd2EMxem+ChQ5cm8k2cUHTuzOu
x/Am3b/fRb7jDW+P3dXg51fGpglLF0vuIYksOBLngyK4qo++iZ8xruWxbTUTwJvL7ZsUkL227a+q
+/xVu67BV5W+JrsluM9k17hrroiPwsUkGsQ5T2uyT2ATOGiLBeEKDyqUtXWpFc7QeTOSW3ttM/mx
D2RG6vUBpnLuNFfdiBi1zxONnEz11MvNeURb04bMD7J4ymF6le/mO/mt8d9LD1R/HiZ1/XivX2HV
tyL25HMgEk4496wbHS11nJJC4T3rUakwo+5lG8kbw/HO2OAZe8hv7NAWRPmrT5DjdeZCI4LnbVRn
EItil98Ehlvts8x1vO7z0Dzpt7Yr+ea15cu+uhENYH83X5yZ/tEeczFTPzejPAOh2cO4Rbi4L9bt
FH48mO4AVh3AmN7Jt46nbXTwP2Wvj0OICF2EOrv6GDhWnwunaNm3oxnhE9RrTYGJ9cHD4k6h5H0f
vTIs3uqNtddABnX5eltfd4AFsClbzH/x0TAmlOaOUKy75aYwrS7ANJRL3zRww1lh4tVX6Yw2pLTx
ijBCnUYQRq7FC6Cm+U86v+tdjslFG9IjVXd1GqjO/A8SwP+JM4zRKIz5cuZcS3kCc546LwduJzp7
vVSYlmeekTcfHQ1MlorlAw8NZz5KmY9pIkNE17qK32zhpPsPWM7VZ/lSu19kR57A3L0Di8KLLVrA
tQv2WDZnN3qnaIsSQbaTUY+MHin9GKkDSVRKW7UT9LyBIx79U5ga4NbRBHNX1mCs1dMGd/kEBBib
B/8JDmHPuM9do/USj3rVOxIkoztvhF5pLTo6Fs8ZytgkSWFObI1BwvY5vWXXaetioolQF0V/L/up
4aFR3P4SnI61tyIweaExwEFQk+XizbSnadSMGpZXebEAP5F9mdaBZk+Z+pICmzfbUxEM5+qddyyS
CzitRBtjmkJkm7jZPd1ixu629MurepdtR1Bqaq5yA/gV6qUuK62lAUB44mcUIC6rvmLUBt7GmCtE
jhbvVS7yiNquiCdw3nqT+VyBpK+4rfUNcoo2+gSG5tYWRaYrG4zM9jcAC6bwLJ40QVVnuzSVpvXQ
kUc3k4NmHz1KKR5Cuajjc8Xp2ODc1kCmxiZQ+W4fgHsnVJe71kPlOLTr+eeiy4JoalWbIxHcJpYJ
RahtQITSNYAJXvx+vKUijt6Vsw8gflYXQnTNBnpOwwSzGVItqSFkAXpWRbJggDpZWETvl01hLfUK
QUiMAWwK+Wz+VUeUQuukoW/Bl7GfEB4ChAE4t1rkEsktlZ2dX9fx42WZa3tkAxofuA+YC8Hoxqlu
BOgHaUaH1uvsIiyjepdbbXhZxFqeC2r9kcGFWYsRm2WeQUZWo1VEDvD8BsR87fZa2Pb+Mrtk8eMe
CMYCfOQ140CvK1ik0QuKBwvnSmunrBPHRsODNt9E0VcyPVbD78u6rZoGsOsU7JmBuQBOBBgPZ2AO
gWq7r58agCoQ7dPKU9ywL5flrKvyRw7nluMyQU2vhxygHWTajT7cKL13WcR51xf2yEb3LtLioN4G
G++pKUgAAJoimVlfUd0vacRmV6uXdtEGtGzrZDuTZUH3bF0eKiXetY727mAy1gd0toib5BsLhLvp
8SnAPFBRZsFNzy2ropdapGRT69F8IrnbOVb3MlYxubPyqf6c9XJSvXSsrcIFyFTm0660b+IsxvDr
IGWNB4dWbvHj1abMAJ/kNohLDpPdjZbbOiap3GRZ7oiDGdlEqqcNaKmbQx2T/hmUIibovscaA1Iy
MZK7ctKNX8TOnNd+VvudPM3WS+Jg0MaP9WS4T6JMgQG37qROqRf3anpbgVQehNP1bLtqQ5Owyubq
9xhLeDSB1lIOCHrW75Sywcu5UQZ1rw4DSDkvb+V3Oze3fhg7RLM9uu11y+Z7ZEapX2a7nVuvNCXP
rp6xxEE1FeHiLNvOVlxt1vaIpT6I8Vtu+kd7Vt1YTV9xYfiFgbYKtE6W7Y+MUa93I7qHFVTTqKCm
u2LSaEcHEALSw4zqnTO3HF0QcmNgj9U+uRrRYlGBNnGyXi8vxcr1eiKFHeCjqmSy2OVgyJDidPV4
owMwP3ZjG02brmwmy04uu+whk50NsdDuUU/j3WXxK/7BAdoN7nfG7QOTOxWvK0oqlxLcXp/KbjVT
Tx8fNTuYO4GclfzFiRzuwEiRrc1TgVvdboGsvIRgm8XEut+Mj5SK4BdXNg6HE0wayAPJ5xEqBhkq
ItvwRejYOOQKEBek8hAR8g9XO8wXg2YYW8Ch4EJCYyKFWadL68WDdVvL1Efvd4wxFiEsyUrs6XxP
IwNZ1bbOpoSXRhmpBUAir3dmM3AGxmE5m2jWRzfOY0sQCC8EfKhqroyuaXdloA4lefrf7ITz7yU6
AmiftVjTInHBHeqCsCYvAC0oyPSs2qOCfjUTjhE1Ze66H4jTa2oHO9H62AfNS2tc17rtWoogH7lm
j+ihAGgNiGrYe+LU7uNoqvOUHbu2QvpTe0xr8L06IR2fJzKHf792x7L4MxbFeFvPkCU5e6fdGHF/
LYOyzZJ2/yAH9TI8UJD+RKfQqU4g+THMhcBOkli179Fl3ruG1Cm/HRMQ0YtplM+X5a2EZo6CNydo
zzFdIfOoXOWUJQtm8OC6CsywaeNDMYoSfytH+UQE5x1przfO7OCeGIE3mmpK6IDzsKfdP7h6oKZg
ZBJRGEZhuZUjia1UMzvKevvRYiJ+ih5T6evyainMxZ3deUdCODMoSGx0aDptvcb6riPJGagH3kp5
pyjPWr4xbED8UW/sbwZng675y9JXMuNYSLzhAHSPXmL+XC1ANSrRmIYngtmBMmI7duiWJDcZkrux
31ERmNrarQaYWPTeIReCG579/ehWKyigROaWmXw97qJU3yjT9AM9IlcVoQddB+bAou8MbXy5rOWa
RTI4KrBWohUPrvJUbB0RKTM7aJlO3aZXqxtM6f6912dDav+J4BxhTtNCM5mpGHJyT+XiIQUSeo8J
jsuarBk+dkuBd0J8afA4lMjFZYs1lHg3guljqZZQrZedU8wCMdaaXeBFh+jGAEkzxsBPV6yxkGFW
9ar1hlhpKjd3sGFuCxwfXy6y1ghpbJihTZvp0R5qelPneebnahPhH0n4SDeRk34GKVbcqWAI7hvL
7SegR8pGK81eG6fZnSHl2rWEhG4wVnl0q/ZpPLmRLE+HiFrLXken8Ou0qCmmzp2oee0jpwjsWAHc
BWYFksPYtcu9o4/1U5c6y54CB8unfb3YLvJAFsZYF/CnIQFUpymQTrXCcAmSNZ+akRMagGkPWBql
4vhkiqM78GI0uCdVawxzfSo9o9bpRmsmwLOrGJJBiSi+a6mWhLLSRDupjHZZJak7SzICpV60sKyt
OVzG2kHbnTPfAtRjwTSGpB+M/0Pady3HrXPNPhGrmMMtmCZqRtGSb1iyZDMHMJNP/zd16mzPQKxB
7f35VlXuWeDCArBCN8XrkURZV+auUqTivTLqINXIR1XZTHMzv0y1LuVkMJLqrMyo95NsjFrw6CdF
5ppa1D+N2Sj5Hc3TNyGMJaguxzp6qHBtCjhX77U3PPrDcKFAoMOYK/ugli2hKTIDNz4R/KeHOKDV
XTfU7RZEN+oLWvWChNRFNzqVMJp3ktklBRmTiafFun7OI52EbAViBDvvSfspoW21vOWQU+q7PzVo
lVTNHYM/t/cRD4cJunVZ5JWCaSRbkjPP0ikIkYOXJDN3gzVH9v+GxeylMKdTkxlIw2hW8EvHO4qE
aCJq6swkQ2k83AZbC3WXn5ExLEMBrxo0fEYYchhT4yEtOv82xFoQXyZQkL6Ctjroqa5jw4A3I2Qe
sXaFKdlzB/K5EoMhEQioIM7yq8TgS5CY20rn1YrX7mYgGkFaDu8RqJ0zF2vLGoReWe6AhXSA3HAp
hERGbjPJNqgDcrbDmn9cYjH5ubxLxtzosYyVQUEA0mW5J+jiU5vR+gHN3Qrn9FiDw+D3P27PnB4T
mEkoJkWXq2DqQKy+1lO3kp+CiGfX2re7BGK+XQnx5qxTAZRidMjoRnTp10S0XmYFpZ04Ped1RaaG
chJa380D9+RSPpKxr8FswOwAMTZkwyxRIxrN/IdZtf1Gjk1MOM8VEtjBVG9vO+j3QxJwYBCAEikK
VuDwu3ZQ8IbGJrWQTxETnAcdTQs3kGRcq1r13+9tMN2paDdB9hOpOrZVOcZpYkViTW1JqfyoLtyi
77djbGxAxca5jH7f2YDS9CWvtCgpslUkNGQYfdMAygSdb26MfmQ0nGN/beHQ9IFWdbwo0WDK3HeD
SBCprhQUhMGZREAZ8mlEQufIs/H79hdaOW2QJjHQfG+A/G15bV1/IgywSVVVD5gr7wtbFbt9nyG/
2gfbSjR85PLuUpnupLTypMD85GAvVlxfuDHxjVNsmYTGp2N7TqS+7JLImKktB5PbBrNbttlWyntP
p/Vx0KPtkmDLIcmQ5xrEwKOEs8rf4xjwweqFA05DAolVz667olWoIlK7GnSQ7SE1ZytDfxeOIMFS
E/Cxi0bHo5xd+7IXmNqSS7i4eHdCD6fsJWpHkWN1xk9RT0mRIU92e23XNjoUVzDHhzyLgvGKaxiE
TEgNBTKFOLPli8P4QTHEr831Bgl87zbUSnYegyIoSkPdenlMsMxQcW1l6qwpFKoMsl0UFpLXqhMW
qKvG6DcUI2J21Mn7lzQU7b7nySRy4RlTzTFXwpACvulGw83zMiBqjB6ISqWHKMYtV+yV0xgKE6FJ
+MvQkkNg1r84a/A9BYQ1kBZ1WFQJ8NRmNmwMinTDGjRqgy/1rGvJQIYaXJgBfZcmeZcEit+hHbGL
LBB/DwaHRWHtYy8aO3gf4/2I5Mz1xy6QqIUEjoG0taofh2Z8qML5QQjRhzJbb7cNXXPfC6ivcHLh
vhMIV1IMOgGqraDXNRX5Ken1yNZrNeDsTnUlOpgYlUDdD+uK4tm1VfLUmkoIhkwbXeCuQqu3QdU+
blvzNT/LRiALo3IGXt46eqmYz5a3WjxPqQxNSHNLVUek+3n67NJNlimkaF6jVt/r4fNUbYPxkUqf
iQVhlewoVF4+b4zCVydbm90q9LXKG3hUB9+/KkawUWBF7gtFFdQxru0HpUuolj30jSXqyNJMOiRx
JvkjsR5uL8IqDnpqcNFHOzdO6muc0eqVvv4Sbc4Cok0LnWFHMmWnFvq/vn/DIpiEoI+5W4kVGIiQ
xg6GRRR4mgvSzg+G+joFpzF/v23Qd8eRsWJIppioXJgyC2MtXDhmAJ74dsh0iAC3uh0EXHrBtWXD
TgCPh4TqoMw2uDadgKrxIsfUV2O2t5CkP5a1rDvyEL2E08Ajxvm+8UDuj+k1nNWgvfqWO5RQVxtn
vAXtGipCY9v5GmhK9NLw//3aWVBUX1IOqPywT4qoapU0KyAcMxqbPPiUs9fb//8SjK83HMwA6xls
WUZF2CYmKN0jM5736EDUHKUiASavkY9HJZsk6lbtOLebNU+4RFv+fhGtJCmIlSwFWjxo7oycrp4Z
zm2Dll34zSATdzUkgcBKwu5SaimoapYjxFU65U7ITFcq36zxwZBfZIwvEK37hRc8j5rrNug35R0l
M6mutQO0WYVN03mR5k/oJBpzP9ZjG7I8pOIJ76y4n6xYaMpa6N0wfcoEIxMDH1YP3T+7QpuENXvC
LDopV8F0BQWUbiilIOOPTmQ2zRuMQzlh7JiCxjJ39HK0DVOwwzmx5Sn5MSX6U1++IF3lpME9OmM/
JrHaQxwWhWSHylxRWvn7l736McvfL5ynGSAOEix3cMu6F2aE+dYNw9hJcQSS1vxRdOW+T6lrzYKb
DcdxnDhhbGUxMK6HfDcOP8wus80HqAerUVKO6OcLzSe820LQWKD/Lm0y3g3u+z0YuisgeQKdjmWC
V485AUpQ2MeCGqI3YFLRHCZgRr+axTM1wg9N704QsjQ4VaSV3im8C8G9gIFOsJZhAOF6cSWrLszB
QHqpOMg/Z1AQxO7HW+K0UCxJ7cirXZkUILZ6HohG7nnJ75UeTtQDIYKF6ino7eFv1+iqKUSaPCw9
K2B5rEl4V5xnwDqaGx57W3lRMDzoR3f50yYlgnc7YKx0SeBzyhZ8HIcGcjfMaod4awhKiSyUfKwO
CjF35ja1f5Sv5Tb1eHQu62CQt1nkAvDEYwlERiXo1LjFOguP6M3eWPZCP5ujGbuwyw2XymJly2hQ
DvoHjYm3UWaEs27BNOrqu3AnkOiUOTHka09v6r7gPd9W3q5YyQs4xokMK6OS1MO46b52qp5A5YEY
ICzwIQfFubqsFIeusZbrwEU00KUEW/Wrs2rXub/Gfep3r/RVR0+j4I0n3t3vuyI2KnaXpjEeKqnQ
CDEW09pXzDW+G3uMOO5KvNBJRcLH1q+f73mlvJVm9mtM5iFVqIo5SBCms837fIOiE3rXJzs6WMRT
ckLR6Kx6ow+SQ9Er/BfOplgST8wximqyiAckqH+Vb4WhAXWNZqqBLX1Yn+m7FxxlGyQZHg7WeVdu
uZ9zJeRd4TGeqsWdmFbL51SPeOefBihYJFhraof+jGzmaXAwGXU0bd7I5srJfYXLuGwLXaRcoMDt
7MqDRtqvB80XRb67rtuH6hmG1DBIxEa4TJKrSLJQam52st/9zo8KWtUFgslku3b793j7Hu26Pfg/
ON9xWbfv3/EvLuNDVqEoiZosFEGv6TtSG2CoOqBk60r26BYZeb7nsRavAmJKCqxBKGOi8He9L7VW
0Qp5cZxBmA+6Ie7bgrq3jVJWw9oFBuMs/Yx+4yLGcbEQBlmHxj1J28k+PbwGTuCNDrS17uTtMX7+
rZPpbXAiEnp+tI8d9c56eubNXywe8m2FUSAyURJcaFCZm9gQa7GZyDJ2SvlUTQ8Z5O54u2PlaYO0
H257mHFFmZa9086amdIg1WobRTgH6ellol0NjmHPOwpXgaCahZztUkRlM6lCmUhlWqjo6YwwxBJv
oGT7phLtXkfZcCCNg2oQMZz53PHYTFePDlwx8bxGyyJGAZh9GKm0o80k1hic6s1NdQbnku3qJ8GP
RY6RqzZeIC1/vzg4YvTjSPkIJOr2qg32NlLwhMFWIUAkjUQmiFt0dg/EXdZjyhbfi/bPEcizAmVD
463Ju7mswhgoQqNuissEe5eoCySs+wmeFwoHvXiQ6WaO7anY3N5tq8cQ0ljYzShmLq381wuWmrna
BIaOo+9jdAZMu6S+4UJsaGseoozMbruLyN1Ayk1wNLYyh392bXfh3YHOaREpITCSXYNbU1SN1IBH
GmZ3nnRz07WWFw88qoR1I//iKEwaOJ+lnHYjcKadnDu9YldgdLUlHzHyYfAtd9agFOPCSjdC3d62
Jld2IHTDWerlqsnGEpSZ9SWBgUIe+8ToijiS0hKOox+bdzA+4dF1iKH9MH0YXr2J3pWZKD9rN3wS
N5ldfcSexZNDW/UpvDgwt2FpILdnwncaqrkcTfgF+bwdxnsjwPAklL2gkXjbVB4OE8KnnJpTGQEn
yBUvAh0gPOy5S3LwNk+c8tDaEb8kg/+/SUxoiVNNScwOUJNQH3Up8AbNckq0R8lS/1LrH1ldeZXE
eVCt3k8vUZldI7SFMvc1UOcemuCYx5N/TxKhFO/FEv1E2zJyUctoW9k2ZYhbubeXd+UUBlskpra0
hXwMvQvX26bGnb9IigCOZCTgImpJw2uLWPmAICLGVBMa2pBxYxu6c5Sf8G4SlppzRCadzMZbkj1y
23rW1hHpL4yHLQeDCDGra0sqOQTzbxc3dp6B47s6qdvA047iZ+v2bmVHR5k71/e9dIDy0wUi8+UM
eVq0FoH4RTZuy+fhbDWkwxpuaoWzDda+0yUW86zoF8qJcsGKKXjQDHtAMvG2J6wE0CtrmAug3Ddz
m4dAqKytBmJ+oXEKLofySty6AmGidF6NeldbUWOLvn4fOZ2bOELmDs7j5Buft+1Zuymg+xpiJpgu
Xr4SE6HmvMnEuoQupPSBryKQOSc4iEZS+/pxfuOAyd8DMm51mNkDFBor2IroGOu0CrUMw6W+dRLd
eQ9qahtc41AyJYmPS8RtvFV3uIBjXI8qlTJoeYGRy15xmqS3JdO5jbCWarmyiPG4NFCLWZFBIGhQ
Z7hXfbAQJV5tLGo4Dmi2Wle5X54kFSkP8R/tiYPOM5DxxjEcIApVAL2zMbPhpne/ek+00WjmiI/l
JzrDf98GXHl2XVnLOKYwdiJIALCgg3WOMxcTWLJCkjQgBU/hbA1JR0oWVNQyeh2txfKLa6Uyjoj2
Yonh73xft6ieIwX6WcZOy6NLXZknXWgN/yIxEVEWZDoLMpD0YwJhz53ua+7pfBIrUm1GEvoZ2clE
7EBFDFXj28u5Utu9xmYcdK5rQ24tYJf3PZEwZB6cUr93/3QG4c2WL67A3IWuzGQcFWJUcjZEFfRf
fxaH6NRuhKNw33Aut7yvxvhj2+WgOSxhj4VTbJBAPIvKptO0zjCPnLVbGeFZ1s5ANRqy7KjkMAa1
RivHUkoXg2avsdsQuSqVpO64rTdvkVe+Wkf5KXqY9gmSBOmvdOIEl7Uc1tUPYIyNaNHUFniybRPd
qGH9SsHHLZCp/AAh1iLeMnyo6sfc3KFyrGjow5OhsMJbhPWv+ncRmA0JNk4oG4rLIhyT7XSv+9Le
9Me9vhU/821P0Prk9RDsCzxpV5PYM/zCjvzxZJEXY8vjbVwLRhcfhKX0oXndidOE3zJbLUhP7tWS
07z2ldX55sMKxucxnQtuLp355Gkd0zkW68bukZbAFQYqrd1dhDtMGCErqm5ip9vMZ5HLy7CWZsac
7l9g5lMXAmhEmxHAM0i6tiLeuqI9Y7vSJcbHFeHRc63dBi/xmM8qiGWR1jnwWglig6hc1AGRJVDa
W+7tCLT8RzdWlBVRNIWp6VIT30ycbEOym2CvxrulQI7iuKZ6SvRxG2+FxQS79u9Ksh0JaPVKkh5C
zfbPcIdS22+cINi1s41LryOC8MHkxQmehcuV5OIgKUtB6kMdFnbJpqicWkXdx8s1WxJIlf8B8+tt
A9fuh5f2MdcpUxNTTWsXT+lIKzpj/Stsz7chVq9slxjM2ahhGr7TJGAkB9HufgdP2V74mRD9TvkP
ZdGrr8WcjU0LHq1WwuK1GHEdX3LpDuoiHGs4vm4wZ2Cmq234/1bMi7aRLe8KJ/fRR9TCI9Jt49Vk
2Mg/1IfbsF/ZnO+ev1D8oWsIo6DMh9IoGGZ1A6ZZj/rO2Cs/LGSPG3LukYtRiehV9g9ETjtDalfc
iI709h/STVjbvz+A+YoDTdK4iPEVJQmDsIcudCOQ+iSc5V0NyigBQroc7ZbKF8nOhfs3bWkIM3KB
9oj5SjxdCKg7b6/k6pPyiy4B1mDMm+15iKwxEzsThug+6mJ28hlFYIaIz4KTuZk/bEOHA7j2PLoE
ZFauS8wkiKBAaWtfzPYD+fEmk+Zx2pQbXhvzuptgfmj5VItx7A6gSOXV4KCwS1cMXN3t3JSI9kjU
bYuKPdEXkc1zcP6oHkK3RfEqPShQVOMs8cpHBE+EKS1srDKGgZlsWprWQUZl8KLpKF4TlF2dXgMD
ye1lXblKQKgIzGggY0Mmgk2WqUaKSRZLRYmI1o6g+3X6ipbcuc9J1Z2igvMR10xCRxYK8pimXyrF
12GZZqo+1xG63/RMnB/1lj5P+KT/PtuJFqa/IMyx3bV9UZYZGgeHGIQ4qrxrdRXPFX3zr1fOEpEy
XrqZlzZj5rSmSSAlRR/hlEayz6O9ARnN1KpIUZQnWlvmQ6BS+hRnVOMAr5xtaGjDPQiNDehuYJ2z
7aOgM4UcA5fiNoRQlnWucQNMjjT92bR2mt7ftnPldn8Fx0RqNYT5hgq4GmPAHQgohcpNMCaRQuIE
X/I22IqDWGCAQz8YuPTQlMNsPEyvVF2+VPhmuu3zFKxJvA6YlYPnCoExx8gyrYowLWbXlUSkIrWb
5EHNj9BB5/j62rpdmsL4ejQgsqQJgHTxvoFkXhFW7kz3UpmTFuwyt9eNZxXj85VeT2MJujq7mwV6
yqN0dDvIZN9Xs3UPKl2ZY9vyGZhjFBts6cAGS/RyyFzv4ynv1AqK1SCisO6LfAuZT24OfW35kHxF
lFARmL5xIvc0HfNJxsRjU55jjQzdZsDsyvTYF5w7wQrjHHpmLpCYtRuDSIJ2ApAmH8Jbf2av3f+a
UbcwXO1BfQzPla9iZMa//cGW/5RdwUtQZgUDOcAcXApQM9nkCE/iGaTKaudM0UPEm3pb21R/sZCD
u/5aZtcnRVQCqx0f42Fn8krJa29i9IgvByWaU6F4wyTKw8KYwUuiYNeeStMW3fw4+CPuchoeFDgb
MdUJpRnc8SmnPrDmhpe48rVhUxiNyJkCN4aaj2j8SILMEQUOyFq6ZmF1gFiogfIdKAKuUYY2ojPy
Y4gYoROMTtbkTqiTRnyR29cWg5TjoajuZ+vPbQdZt+0fVPaNls9pD3Fo2GaWn1Wm/ZBr6Jc3xev/
hsJ8OczGQph1gG14bvpphUt4Vu4UU+DEizVvB4Xl0pOOjnQM5lwvYbAQOoYqjDHEP2W2GfKHGZOX
fQ0pTCzkr9s2rW7oSzQmxMuRKrVpDDRMkug/py7V9qmRCS3ac4PZBveo4o7YeudWCjVbK5ryYIzt
tMWsUOOKIOyzx6xvtlGS685QQ9itTavP2z9xrVKKDn1wP2G8RASfMLPucakUU66DYWBOZbdvf3R4
fHeR7CRggxjoBzipCO07e6ww+iX2x1aZVDJQZLy6t9k8ZxDnFCR1h6rRSRMDp7JqznmyuoaXP5DZ
WpimNlASww/Uj6OXnAc/3GR4oanQGtmoj/m22EWIWj6agW+vzFqsusRlHmhDZGDMO0FNoEx/tOox
/w8J0auFX/AvXkalmqipqiIWyggZCnoG294xol2SnIMe+lycqunaJr60hvH7ouqFRMaAkk2hdFYv
efMXzXq5vWJrR/8lBuPtemfOA62wYkLmJemTgvxN6sg8yvO19AMmHMA9hZk2C5MlzIcJqyEf8y8q
B/llCA27pttaakmJjKLmQ3ZGRTsB5SU91my7BGW+VmMp1Ay0hYijf87SJy3Da/mo814lq+cXzq2F
xgrT6Wh4v3YKFb0s8TRLiPAONt7snBo/Nlx8Lbc6Bq6JnN9A1Ade2XLNOUDtaKAghlk9dHldo8ZG
1+eyCecYqtSNKSpwDfSUC/3utn+sxd5LGGYnm7kZiCmFf0StP5cO9jTp5xl0IBBnARmIyhs2XveU
C7sYTxFqvRnEL4ecoHqTYnIO02l4KR1yJYF2tGjYmRKdSvB+W7TnXKt4a8o4jBwFSqiIWNNAvI+7
t7Tz65Ezbbx2Mb1cT8ZZBNkoZxHKM3Y8Zg+9KRMwR/qNUT/VUe+ik4jz+dZyp9YlHrO/0SDQmgH4
pGzl0VF3mWe8KpYTPDbebE9b1Be9hkfPsRaDDUgWopkbNFPfRoFRGNPiJgCingm/p2T4VWSqc9sp
15L61iUGY1U5S2JqCfBK0W8eTHtw+72EAkZB1E1w6O0OTMviHp1QD7dxV/1DwXMdWkUq+sqYPTeE
QZ8PCu47MTV/xEG+kUr9aEYaz7zFx9nrPd6v/+Awm07SSpPWGXCiPH5u6DPEl7Y6WAEbeQLtIphH
BF/uu8cmhpzJ0JCqjW1zyp7/vbGYRVhmN3F5RR/SdYBR4kxtB6jlQID3PKR3mfEkipz1XP2OlxhL
9Lk4TyH0OzZ9AQxDtsc9hqofBDt29e2QkPm+2/a73Mv88U36DDj7Yu1LYugOborpVBnT3tfAvZmB
fzDHJU+bGy/o05iUTUXyIOBkk75Uj64/JfqNdbTn4A0gL6PH10ATpGAmfRwg/PSog45c+hBOAcKm
Hd5FkLkaHMnBNIAvbk0QE09EfUWv9c78ED+iF9OLOX61MmGy/BgTpAPgzlumcq9/TBsboT5HUEoS
fc0r8V7dQmUcFL2edIdR4YSEruo0B+U3WFwyUviJrz/zzpPvC3/9E5bocfHFMa831bEGVZIu2Vmy
K6OFkfc4/n7sAwIjophyXAS+2G+bN6pExXKxsvrs6j+W2oOa8lHv/9zeH98j+TUM47spmhoikQIm
A590/0sEZ1R5LOWRTCKPznhlnyxYeCPjCQlFQHZ8M53TcY4CYIUjBIi7z1nV9638jiKIrYPPX9IH
GxMEJZHS360eO8bUHy2tceYarfyJCeqT8ximT7ftXzmpr38UE4TVBtulB9OljWeo26WNK6CVftpO
saPorzPdmOKd0nFAF/f4tp3A6In2ZBmLwW4nsbamElx7eIyZ4n2a6498tezvNx6YdQHBmKVEqTBO
FKofcqG4dQLaYF9MHaEKt5Owi4qO3F7G1Q1xAcdEoqazWiFqAKfEIhkwlxllDZlVyoFZ9dYLGMZb
B72Sxi7AwumptAkbr0xQn1KWCUlMCW3/g0mgG0GUATunxbaHhUMfJX0Fx1j4ozWqE7V1QUNwG2TV
/aD4KIJEGmexyFJZ6pCza8ccFtXSnwitWsj14vUSB7aggR0RxLE6keXNbdA197PQUopZY5RVQCd9
Hb2MedSpqeFjVeAWb2vlLhtqzsm0Fr0uIZizX6Bgo6ExzBKg0yBgWCxB7hdSQdXzbVPWHOIShzkL
YppiVSvgFEaKt8MJ2YsZcw1R6bY8Hj8e1LKqFzGfyqWUNiqgUhkE/yapahn98nbdHrL447ZVK2oY
UMC7+ELLdrvAqotUn3IRcpzCpptIKxPzCJow17LlEwZj7dzJQPovubO/M0/Rw3NiP4cO7/62FkEu
fwMTQdDTMnRiu3gm5ILzwh3m0hvQ9KFJeyF0BOHzts1rEeQSjokgFOwpU2kCDpNkT4IMbdoEI6u0
QlLoNtCqay49NGj9xBKz1EUSUkiK0HWtrVJvVg6VejTD95nnLaurd4HCRCrLirMcU72QR8v9wew3
gqCRONiPTe5W5jnsvNtGrfTywWMu8JgEbUFpBUJBWFVOxPxjhCR/VRyw4f3QchL2pApt4QV9Jhv5
jnothvDCx9s/YPXzgc8ffdwL3w57pPWKJozRBHuFBEJFYWzHqq3zKGpXA9cFCOOS4aRHwteiBuiH
FOUfccc7YKQlMLFHM1r8kZFAAU6W2G70OQXfyxhgHQvhRMtzEb7VoW+MH7H6WfcnPdnp1TEU/FR8
+g/rd4HLRJcAPCBptOz4Zg4dCcrlmoEbEY89ffGCW9YxcUWo+7yfA6DQ4k4tf6vTQUb2EqXhsCoI
5s/dUv/XDDbwywu7mE82lhUF1/7iF83OSt7i/hg2bxrvrF7Z00tbNUhO0AOPGzNzDPRItczQpsWJ
BrXkxFC8DMXG1Dz1Usy5FazkyQBxAcV8qDDN5MEo8BQa0bX6KPVk3sRHCIIf1XNdk3wLKpe99SZx
Op9WwgnqqMg2I+uIMt1XJ8rFgVBB+0EJB+hPt9XRDEYC+VfQAhJVKlG1cLuSk99Z2c1XcIyRrTJk
xpACrpIPufAgJRtJeLjt8Cv944vO2V+TGF8c9WowqQiMWnsYoDlVg0nq2GVOXxR2ELtS/6dVvdrc
i+Z93e+14tzEpyZ0OgS2iLO6a09K/JYvSnwMhhhsO4HUiJowD9CJrpzwTjl1+LLlu2o/xIf+0G6i
h87LBRJs0kNxp5Nd9NzwxKdWLhdXP4DZJkUgoL6V4geMgReMXhU5kfXWW3dVxBNx5trKHLQ1FeMs
1gClhA5NNiJoW4n6GXm/08NH4iU/SsmJt+F5IMUB8odPlf/Oay3iGcucjaZZjga18OW73BlURwUX
XJ27cfhTSV5uOxkPiTkVM6Oc2kKHreBz6oM9zXZT9tBMj0HMOziWHcFE1ssPyLYAq+C6UpMaSLV8
qNWfbcq5UK9UYDGZqaJjD5Qa5kLmcX0lbNRKDtRFQ30aT1pwwiDRmHlU8eZiP40OjFPCyJ5VjXNb
+uKTYwzD5D42BRiKMYrNPhaisGmqbETNC/TwTo34No4gffQTCPXKg5uBJTdJoRqvb/JqH/ZHIdpT
JA+0va7cDdqrPtyj1Y/IE2jKQz8NnKTs3bkhg7hPZ28oHWPGy0chk7pNzGDfBdA6NEGZCfHNthDs
ZnzpowrDbe9y52e5bhv5RKp0P9UnoxW9MbItPJhCmcS8CLjiOaDGRWcTGJlUEIgxJwoSMuifnTXc
AxAB0YZcWsc0taE9S7Xaue2kK7H9CooJtuWgzm0mL1DxIdadJgJXIYSlBMcMHb3iRPZVMIyEooiF
fxjNvHajcB5AtKoALOstMuazJwo6aaVXYTiU3V1Std5t41ZO5gXoHzwmsHXNBFI5CXip8CJiUkiR
n8JG9+bOvY3Ds4uJahIIfapGX+zSApI3uWfKH6XmK9CPrgxza868HqoVQFDGQhMdHRHYH2wWUpAj
M4BgTgeacFcMq208/5zao1DQUyy5/35uH0kIGWOLSMCiIMEe/3lhgPAvtDpb1gJ7qp4n1PAj3RsK
jnesnPtXOIwrVpISqQ24Me3COo3pMZOe4p4TklcC5RUE44DKrFgxKpqd3QaqLSuDraucK9qqEaBx
RYIR4QqtFtcuLs+KHhYRFkuNuh9tMTt9FT0UCefOsGrHBcriHxc3sl4yBT0WgQLWRKKgvRh857dd
mmcHE/ETIbJAPQ8Emv+uqKtMyHUhTfo/gbDj6qpWKiE2CNosIGjXatvBVBF5OS0AnLViK05mjs5Q
tYQlYqedol52MCTp3LZjLbmMOc5/vvoX1cfF91ikEVsNRD7gLZiPsX7QphQM52AjnBSniotD3qIY
EA14jItgKDRcKkFsIoLOZ18QbRD9YHhsU16dYPlEzOF59aOYU6RA01lrCVjdvHs2y0c63YXhPmv2
fXiUUrfv7m8vwkqwvYJbvsPFGiSB2BeJvPhkPPh9bBEh/pHJfpByxpF435PZw11vmU1lLXs4Tc5d
Tfd58XTbEh4Cc2yUNLTMUQTCoL4GhS+3Esfv1xKvV2vFRAk9zmZMGmGtMk18MpMkIeghAZW1NZ3H
XnCt1PTGuCRt82CF6f8KzgSPKJwxlzEE2BDiUx5AvwCbvDvl87nRd2NigfJmXwgyB3XVGZH1wtGP
msO3qkNTm2DGF6LezhGxgsKN1QT9VLYxghT0XX8Q29+3v+GaNypQiIcSCfg2MLZw7Y3mqDbVaAGv
s/o/eQ21e+TCOqlwRIW7oPLKRrvEYhZ0aEEsQdMYc84HtCbW0EQ9VO/GMXh8lh/qj5LXDskzjQnN
ZqBmiQSFSbv/EO/iF+MxvZt+U4tUewO1bdfRti/aPXf6Y+lRZaPJhZEsw3RlyFnYZEDF69Qd/mA+
QTuqW1CnRKTiUbBxLNSYGoEpVaVYjMBCodMpwCs/F3aaPJg8Zsi1Q+7SpuXDXoSsSEswjZQAJ1fQ
HZCp+2iI7WHiJYh4MEwg7qSoVvJ2gdFE2xx2CbJrvKz9yjgQSAT+OrzGhN/JnIypW0AEsAuafv2a
PBUHCbqx5av6mOgk5oTh1TPvEpCJw6AMEvt0+UhN8RK+G0T/2YLcTXBjH9roGhF+V3v5CR2m1n32
cntv89ZzcZ+Lz4a4mdVxDWRF+RjMF1lpCBWfb2NwzWMCSD+lkiAuvqEfFfRc/pRIu493WuF0A0wq
X+fdeE4drYL+u8l7bnMCisYEFJzaOrR3gY26ONrSpJOKQjzRwWYQum8i2goMzh1ppcdJB1++rC3k
xl8MYNdLGkx5bFWthIHmKsbb/pRnuzRxM8UBx4ITJ48TPRbBput8OjkCvUtSn7Pcy5a+Di/LD8AY
AOYNUJhmXzTzOIdWVqiYCxxqkvZoda00exIJvi2IyBJMWUe6OwduXrkc5BUtpGtoZueUZmjGaBgA
B6q+R19lW+egadqkwzZOj4J1ystDTV9Lxa+NF0sjvRwToXQV8bckvet4o2hEHNN7ayHHCUVXad14
OJo02Mx9ahtQX1U8WXjNy9qxqoQ04JNs659jJNptewpBWK1WG0WGrGW47VVMXSJ90RyaGfIg5k8T
HLBCq9rj5EnyJgFXbL7V6K4UCpcO20Lwg2SrFzNp0UVr+vrk1/1jOh4D5aRBNyVMQicvPsN4H0K7
T8etIkfz4XzOklMhO7rsoauzAtdCcUrybTJ5Yov7avGSY34g2CTGxrReyuoeeny2Uuyz6T6D3pOU
OtBLMuij2Xp5qkC47KDpuyS818uDAJYw44eFgv98SOt9qWQYx9oa5UOe+kXzHgxPqJsU1qPRb0qd
GJOfKqcC+0fswcIVfzQq+iNPw+z1huzGINvPX8XmrTRiGyURgktRqh8j01al5yJ5FMp3ZWocCwwA
uLC0eojlAoseVXeN4Fjxh1xqthq+idNdnpyECuzFKKTIPSY9TA/uZyflc0DBRO3N7Z8WchjWQQxO
SGP1zbOZ/hrqgUT00INguS32oGIvrNFOey9U3UZstkJHD20IjXP5lCkDEUvTN9NXdAt5eezmFq/u
tFJdA6EcWmMxIiiiLMSyt+RaGNRa1C3NOLa0Nba114KbJibZocGsMxHPytF4rl142CNGICfOxW0N
HoO6kgr+JfTJo+HrOjTQTIN0rAz45JA5sj3YqV38H2nX1Ry3zmR/EavACPKVabKyJVkvLEu2mTMY
f/0eer9dz2C4g7p3/WhVTbOBRqPR4Zz7BuCS9tuzcQzdYv+FwtFb64mGS1aGQJGiP5PMHUyjnAza
4FL70x4UeMq+tue3sLZzhK7OE/XoqfLa47SNdtSt3GQjjTZxQ1d0EyzelnNNF5+xXEdn103UtyUL
B3yGsuC9QHTgGhs44wFgF98KGzecS4+p/W79vO2ZrqOgS/W5a66vUnMiFPWyMXSj/KNSvLaq7E4V
6bd8/y39uJuOpPlQUx31q9zO7zRHPUR+Cj1rt98wLzi0284RpZRWClmXunE3XB6BM4CZWNP8tbaj
XeHXGlAzkH90f7DTHVgRnUEQNou05KLmTG0AQL+YMbX2qr4JxjtV2t7esLVb9MxSMJzKWQowvI20
gYzECD+Jvp1JsauS1m6HH6g4uVY2/mCDYgOuPrXBFuJMYG4d4v4xTUUvzD9whv/3pqJod/kplpUp
lbWU5BEMPoKvHSx2u8RN7wL3M92M7vyEW81GmcVufdMG/aTPnMHd64n9fHtNrowY9EmagpbJP4DK
Bt/ZP0jRlBElQBg1Nb6CcdUazrWlJ+F8xNX+QtAfbGNMR8CF87llK5uzygBDCxJvwDw0CruSPFXx
b2tzvcOcFO5MKr06ZyOahp0mtk1MTyE+s8tkU2yD53KnOsVolyheiTCURbpxJ7TA6AcN62RwpPKR
JS+V7g+yc1uz5Scu7IVTjDuQyFhKLemgmJQQssvSOn9TJDBeemCSL0+0S7LfEkjTBHnMNesACD3w
fAwDoLP8Qy8Ftavcz9mAcuCGAFGQYLSlOSjq+23lroep/mj3Vw730Js1BYwnaKR3LMR1rjz6xibc
K98lywmP5nPxVB30U7rTnZaKbs/ldrxaV8BcodcSxHagpbo8hyGdrcGKUyBB73DqdpTYbxj/8NRN
u0s8RGki4OLrd+Ci6plAbiO7sO7ipoNA48SOMTLDG8vRH+nHAJTtaG/eCdMRV4kBTiDnWCV9KgYa
QWCtAx4IrI6AzLEbRGp+4bQiSIbrwv2ltD+ZtbPLuCuysp8IpI2ufG9u+q8ys1vAmDrL+2zeGPct
AqPIYT9gTdNWdG+tHkS8BUAxQhbsgeXvZ9InuSwLZc4HNFahpbXfDksWSzdERrN6LMCvDG5idJoD
puFSjMFMWllYVgRb3e9uQxzDk471vvoMHqgHhrj5Ln8IfTYIfMC67WAsA6WLJdTjLw0MsnWhYUIu
Cktf2iMa6/3AzT6VFwxtOvV99yk4lsuxuzocZ/KWv58tpy4pGYuiEmi8CjpZGLPRf+rEmxazJwNQ
ifD6E6zsdf/BYj5nEpfjeiaRdkFm5BI0ND9CMHchT+0XvtQDPBC8YmBtuJ+AaCXtEmBZ/QZPyEe1
l44iPoMlbL3SGrO4AB21sNJ8D2CTVa1Zqoszyo6a/NsU0dOsK3kmgHMB6Cwb8pDBl7PRQJd3adda
4iTEfAK/KzxOZaHfBaX8JrOTSUMKOrKDEUXuIdqGVQKmQ90GHSzoWOr7ATTOqana8tA8mzrooisp
Fj0wrsP8ZU/OPpdzIH0KXHCiLLebsTM+hh+zXRp+9FxtnyqAlZpfuT8PbrJX96MjG+7oTO7zP+6A
ufwEiwvcVEkbm0zHigEvuCYfUvdoxiDvegOFnsACVzd/AXNcshx4zHFHO+n1Ok5a+K8Zta5iru7G
kWwEx2rVfWDsCDzS8sLAxRn5WFA8TxePDDAsHWiAd92drx/UHDDyzA5f9D2IHtAj6Tf+bcEiudx7
LQmaVI0Z5FqxstOq+YgqtROWkxeJ8MzWV/Gvhpwf7pNJn1kISab1FsevWuzd1mQ5IfwRRZcLWl7Q
PICglYueaVtF4RDWMMlQ37RIegQPYF8aio1cZHe5qN1jTZtzaZwbzI1qjtoM0ibrrQv9kol6nkQC
OIMwaKyP8iLAMJ81+Sf4WW8v12K0V8u1QMTj9YNGHZ72XVYmVTX6ZnB6+tnqbsk2bexjmsUKRTfU
qiZ/JZncQS1HACzTFJJilfRgRYyQcU6TUx7+DIPUDxUVzaUZc4veehviAphQBXslPaYZdLO8C7JW
YPHXHbtwHMAAAu3PQqiKtu7L+2QKtVrtC3xP+htgNpbL0FTUAnT2Dk1KSIgwInjFrh0xwG5inhC4
6uig4dyHFquaGdXt4IQBoErosVJzTNd4Zeve3tHF517s6GKPZ+OTnF4azeV4IMtw34SOxCBCR3Xr
JZl2lIxwD8h1T0fvXInBydtir+IrTuyy/WfXc58q+ogVBbZRo9qAwbMrGdybxu62FJFynPdQY+Rz
egtSmswxocb4DdzvqgrWwB9ZegjA/XVb3tWmcVotfz/TipRGWkd0kad5EZJHETpc3ogIIGBViq6h
U0cFwDje25dSiiwi+bTgKhXqkYwbPXSH7qTK77d1WcncwDLOxHBbNM2YG8wXMdppfqedrX4C4U66
i/fszdixx+rJCG35lwi/ZKUDEWLB5rEwzyzlXM7w45C2ICvDGsbla6Oh527f/KaGS5X7HkD0mTv2
PyZRD8yVW1v27UwmF0eFrFXpVEEmHoxp8nvUO3uY3qzkjkWi8cSrCweiQE6BqTxUYMD7x6lXRowC
dxTjyrp5aopTF50a7Z5Vr+r8CNbb21u4Zijnsji1OkWap66ELC2LbFRVqsDVysqWBsExE+m0HMMz
s49lLS6NaBnB7tDbP5p2Xf6MUXdAW4ptwDcDOENwbQs042vU8xB2dRMuq1jdl+Ev2n+L58S2RO0+
a3YBb0/AOaoq+hUeblNkZJAoSBH0Ze4ruzOG/YwrJmAHpdrc3qs1h3guiturUcvGEpxdcIgJZmN/
ELrTw1//PxHcNhUlGI0BvwQUDHl0FOBHVl81sKNuC1ndmb9LxoMpWa2W5oG82FzcaV5CigZzJohN
Y/Av3MtWIGLiWbU9xAlAmkNDPbC3Lm3PYJUJ1tRl8n5UXuckCZ3ZGN1mmA4kK1BiU9+QRRQEJ6s6
LmzngG34A/p5KdPSIjlsBrBVLMW+dLlI8MiK3Ex7/hdrCZgUQwV+OtqjOd3CUm4QINDGsYoBmTon
mUrHkkKnmgTGt/wQHwTAm2OsBay6CxPppULgp0nadsYi1v2PtgIZrWqr5WZE71jjqoUnjwJ5q+fq
TN6ywGcOI6+KcFBGyFPmLYiaVMUN2Xcqn4pKMBe0UtOCu11QCIGeB34RHsS8UeIBnh1LOJysu6Fw
5Ld0W2GUptln3wDHLNkhhhACL/hlddv0UwRBu3qZnYvnTrXaRi2xFvG9X951GRjE7eITaMKb2G23
UfmP7RLBoixjjhisxRQDJpfLquSSnDE8Op1SBkyKN7BTMLuTsvunVgkpqox81YIeSU3uyZRrqa5M
MzgmMNYx6kfwWzejK4mwlq6TBYhuNMDqAnmBGAqany+VmQZ5HvMexfoJPJAxaoKS3QJ9Xb1T9pYP
MPpy06qAEU5QVdrTHcjSWgeUaaLS5LWl4iuAO2oRQKiA/5JfUs1KcrnDb2eNG82uhEd25UflQ9UI
LHX5ocsjeCmIOxKDGUYglYK6o/oVgmgPWFnt5+2NW8HXuJSxKHt27IyemExKoQx5ZEcgw+5MX930
WNbYYdvODzeRU3mo4QNmV3ITT9+RjelpJxEyzEpkiRq5gtQjWbASgb54+R3aNAcDGc3WCV+bL8OT
Aedxjzw9OomoV2yTN/0k70WsStcpT9jTuVDuKMa6NcbKIpR9TRjAoshDNscYOMOtL300d9P29mKv
7ee5OM58ZTMlkdRDXDIdW/m3seSvBeGdaB35KKirFKVuZ8h4rXbmidr5o2TLqNcf36x9/MxO8unx
/6UUny0ZrS5lyiJQmXaJvlPJRhJFdtdX0cU26cqlbUx5SYMggwj6rL4hfHTRQfci7oNSrooZl+bA
T96MmORMumnZn10DLJAjenhkP/O1F5wFr9xNPsiDTQ/NNeAnCWJfxMKoXMctl3pyr6vQCAOtXcxx
wBhHdNTumJ98x3janh3Gp367QF1TnEWyi3d3v8cH5V5xZy/+DGCookqScC04J4cWzEQNGL4lfO08
EH0eEx+9u4Vveekx+Wzfq1dpk9w9R6fBSTait9dK/93lSnCez9InXU+XnZj2hhdszMy2DpMnb2X7
1xGQBF/pd+nR3FqCw7OsL+9v6R9cH4BCKsDfuLSzSqoBPSOjNE9jsskYSHDCUoBntOYCzkVwHidU
EzLOE0QMUr+tqnAb47TUnWiaZu2KwuUE+B6QUS48U5eaUDVjrGSIRstB/5FGOfIpOR1PYKt7GtCx
7Be6IrhI1s4o1VAbW0DTMbbG+TZtCkxARy7vPbDQZOHdbBmbvveieRdFKrre7FyEjH0dceP2/SuR
nx8Jap1MXb+8jsrXsKw99Ex+9EVwnI0+EgRRawcTaQ9iLS1QSAxzhqF0ZhoHy4MCTVKHNGRPRg7E
K6k2XsYheOpI75bG9O22X109A+dCOVNpSV03OUGcCALsh74aXCM3v8xkdiz6MVHqAOoAXXw4GuUk
oQWvvaMW2RD6jWSBC8ymfaFTv0rDp9uftWrAZ0vB7XMNorcgyPFVMpv9oGvuxqFyyqgWaL+64gix
UBlS8aLiY3TNjLvOHHFO8vHDYJqtYYyTJADzfpjHbUsl+7ZWq+cF3KDAxtXxMuBrn4w0M0lMaJXl
35la+KZcP+bz76JXD5Uu8vOrup0J466z2jJCirEkoCQCksMs0m3a7ojlGNGhZTvZjARebXXHzsRx
vqAJgRfWNFjKOQgAkDR4CRrRx1gE1CzSiru8OskgUh/gjIyYz5XUH1HsSuSHnLz15oGKIFtWz/6Z
TovOZ1FrP1qNFQP10SlRo0MM59bsZzgWuwwN07ctQySJu4laqWhisjyDjeJ3mQLWXQFaxUshpMxZ
36WFnxbzlpalcbukAKyYJrKF57aq2YCCvWMjpivadHtbndUrDg7sf8Rwu1TjtAHeAxdDxVLiAsxE
3k5DqHq3pazbwl8p3PYUsUZas4MyRns0CfVV+t4Pu4ptDMmpze+3ha3vENol0JZhIILj3p76WMxW
IMG+mSk5UodHktHaak3tqBAx+a7qhZlhcwGOXl66l2ZXG6OsBgZWT4kTuzGe1PqNjqBvLJ/SQnZk
0YTkmldCrhawQwtelsH3/oJ9FZDeEd7uRaPbaXPXAHcDXdlT/95ogqmDtUUEN7GKtg+ALAKN91Kz
QkPcmxR4wJehrG/7JkRwqSTxpqj0hyxM2MvtPVszwwWNnOrATSHgA78Ut1CEaDkLW0dtEi9Xwrsp
HP3bIlYWD4BAUEbBKL12lact9bAx5wSkoZb0COyXBH0MtHINZJ5NUcF4JaWDsVFAQqI2IQPrk8+V
NSVushK9nk6UYFxh/rIqyZV7kBnGkx8jA03VUrbJMKF+MT8VuohvCJkWrBcXucogaTAsDTkJQ+fB
jJPSzCeAeIAWD8ktNHIm0XcaTqkns4HMdqak6QuAPgaPqGG5k2I1/2KlaTi9GpTPfWVGLwFDEBFO
ADFLC4n5ZhLrSOSY0nFQm/6uY/IAyna9hEVUalp/jWbevqfZqDp6K1fvaFs3I8DSVJITAGLjkwBz
6qmtTXrXZFbg5HUebcEINv6KOyNX78ZAi3YhXeK0bCbGb2DsooapZpGyq+YRFNXhnO1mEtHcZVaq
gx8tjZKjXqGeYAMGWyc2GpaVyZ1G9IiDckArBjs1SgsEp4aiVXYw51rkJXKlosOV0BbPiCECYgQx
eg8vyf53DwK/1o5oEqHRI+ks1QmGudhNsjoeElnKj22WDy9mOlevrVR/U1T1AaL67VgWFKRpZJ4x
yEGtEhzzCjh9m0BR/bgfso+OMtOZ5Sp76lAfBU6gJYPOXEHvTDEC6xZsAnFTeZqRDhhvy4mx0fRM
9YyEJDs5KxQvk5GjM9SR7nFoJK/oG0wcNH291/ve3E2WovSoOYyRx3qpY19p0MnhXkP3K6jV8src
N0CvLL1aa6i6H6JRQUsLlhwNeTNg/bqC1KAgbtLKBqJ99aw1cYLgNcVFHUTGa141AHyTLMsf+wD8
ADU1QA2HofyPcUpQ6+sytOS7mhWOoM9KgsQHbkdSASetD5+7uWXmc5aNHdBO9EJ5A0xRvq20sZId
Y85TtKzK009CQ5CINHJVebmU9t8mC3vmykVglJu51iBTwazDmyaltbnXwtp6QeSdbyfWtQqgFepA
Pc3oebFs4DSCRr2QO3YclYoWe+Ala5o74f+9oibggy0tIJfbasGm3i4Li852F1fI8KhD2ftdUWiv
cR6mgdNmRbGXckK2NZbLZ4i1f6JHS8ODKVUokKnC4EXvVdntR8JOncpGHxj5yr6NinobSMw6ArAo
ViA1TBOXEhZuWTYkT40ZzDsQ4aJYOY+AZSgDFm80zDnZDTqzJzvU9SF0q4z2u75JJQyEx6PsAh9O
/q3GfYhZoT5GDNUrGH8xwjE4qpKUPRNaDr+suYu9yZrTx2ko2RaYLfKvSBqrwR4Tcz6kRRK4eair
j3UrAw04RwbcVqGtr9d9Cj4yKWw+whxdOjbNq/C7kiSoYlVxZQ4PQVHke/BeSahsEZY9akNrPTOl
Dh9ytZi+D1M7UZ+kqrWZByUotjOV2iP4WyhueT0OvRxz7I99BWoydzClTD4yklVPOojED4pkJL9L
HRGiPcwWCoCa1g6eGRbA9TNSs8cM/FBkmPWq2d6Y6eTqeZ54KbpqJ0Fwct0PDOBp/MPT0UKqkRAu
1BosmutmCwLfCSfClebSGcfcmajlAufYw9X+Ta9/aRkIAyL4zc5O959TWLpFedLJ+Hn7lrruIeE+
hgvIWkKqFsheuHgzgCH1L3mRuwn9GEcVMFvh77L+qkP9GAWIOdEiGQOiRfABa1fH+WpwsVomS5lZ
jEvqfkj2SdG5XV24GJYAsZZmS4G81YA+amSRm6OQa6rW27+Sv+Qp0CZtqjoXeUhSnYBvA1eX0Xym
keZGbeSrRfvRZW8lGQe76YGoaZShm1WRbVWjIBJZCXzQJ7eU+vXl8ccn88E4o45gK4N4VgPdqPvE
Udn3xb5ArVqg6Up68ULU8ilnj5ZS6mbKOtDaSVXtxpZHktpDZtNuiDP1r0a8GaN9J0JcXQlZZTQa
4gmtqAZGK7nlTUmmBSjkIYbEDajPwytm5rfzTEzbKihowNMnafpxW9G1yAsU0n8mOvF8v8ZtkqQ5
6yAybjFQDSTeUIkcSdoFmcOSzW1ZK4GkjK4nZNUBmEgxAX25pn0RtVqFaUAnUr8wp2VT5t4WsGYf
5wKW9T3bNLhBpS5NCOhYHQN1VcvviiF4zxJwGxtFVgvELaeND+QwKgAyDASSqNZx2wWuBlzewFR3
iv65GV6j5C00BEg7q0v2VwSPFxZN0lRJA0SM6ugaY+u2IgBxgRJ8dF8EszYYCiR0zScASDv67V9U
p1W0IuuI7xffJf9Jnp1tiwqShAmDU3hAxBGoOzrc8jW6AWX5vVCqYx+xxxmMmFU9iHoZ1s4TSEpQ
6QQamqKZ3AalajYB8lEBHXIr20H+SXJAM++laPba7GUUdfytXg+4pwDDvrxkDP74Svk4SQpDec74
KFym2Nl98ybfIX7alT9rsLX+0w5D3EaYM7XQxgn8MZyoS2svurpr1eVqTOWXuvSy+VOiB8RF//xM
YVoLENAW/AMSG5dSugivWqLCPpLivsUgHFAlaxUhxD9vvVPBivZXDnd29cpiQ5wSaAPCUFLSbTtn
wBqbnKwgglLt2qEyFtxzHa39yFhyZjFKzaAnEcwC4cYxM+fjlIo8+dqpMhZQcPCF/nk1X67a1BMN
oQJMQeoAstsbBXXrEXDdhYKi++0N+vNe5N3QMkmHB7pGNWAVc7IspZZ0TDODgXV8x5PHyL0DA9Os
5syHyo8d4znwMYL7DZV3kK/bzb7453US+fwDuPUcMFGfZXT5AKC5x+O+KH6ls8DXrmXYz4Qo/MQm
eORVMJFBiLTFdH7tnXKPfbZOsMl8Y1d+BS/tw/DWfIjmDdbKzpCrw33hpY4KPmf/OtW6ppBQ3Wob
+2Pe0tyOPyLZCXfPNbGVLYg3hU0ny09eb+hfkdyGquEMkNEAqhKn3wHAvnONh57ZFpiWpe/GVntK
9sqd9EC2otrtarRtoN8GCUwMvFh8KUrRqylSWQBwic14VL4hT5aAsCPYoqNgo9ho1Yifm81weL1t
wavn8Uzq8vez+2GSsw44nxK2FkAdABoNFAECymKA1wv6Vy0ubJ7NHq/iEAKaYxHZ/SH5XbzGPgho
5Z+3NVm9As4XkAsbi8Jo01jDAubAxrhj78Ux9iS0VPr6xsIwR/p2W96qmzlbOc44wyiMezZBXIg2
PbT821o92NnwclvK9SwtbppzrTiDxPu4onIPMczN74Ci4dTeO2CFyC54Jv6PdhsL1FpB3boUyHkU
zQBaTU8hUP1CK29+momjDHb33r6Es6uK1FuL9ZFFxbsCOIAGeqMu7Q/gdnJCa5gHWIfYe7vBuOkv
ejLv9b0uso+1CBW8jljNJcDHI+ZSVJu0tTVj5MtBTu1Jfe5d9DiyY/Ju7qInTfO6g+mzH8nGEtwR
qwf7XC5nl3FhqGmIYiimBVMvei3ceLSRVBif0JmtO8qd9pFINtlEJ9FA9KrtgCYSwxfIvAE0hjNR
I47rqEwNxJcJqbdtkSIjr7MJ4DRRIu0wUgj15xrVrkrVc/hVU0ue55q038qBym6Qy+O2VOfiVDUV
Kb3bhq2t+IXzb+Psms1mU2CyCH6h6MFyOO5KafBvi1g1ZaR5MYeKl93Sy3i544CujtXBpIhrZg3Z
P/VZrr8PSrRN896pCvQVALWxIo+9HgmyFevK/a9gflIO5m628YSFDxLZx9yvX8jZRqDcqjn/Vc7i
SgORgZzflEG5YV8d5Z8t0i+4Jsk3M7LDX0fpNP/IfmM2VFQBXvPnZ2tqcUVZNpeRXBl6C7Qx8soq
ZRsG7Wam6H6j4B9O69Axa+OhrbTvt/Vdc7fncjlHAWQK9PwQLGkuPdTZZy3tqYipZHVFge+EcA4z
gepVUF9Po0kDrChYxCnyl/q9gU5y8n5bkVXbOJPCGX4XS1paTsu+xT/NateJmuFXoyZULgkeJwse
LR9iAwluIHGIqEm9hxJOXdv0jjzUrvFV+9au246i8tuqRnhiIq5H/gRLd3nMZqNAGF7ixuiVV4AU
p0Rwjle3HqDamLRSwG/Gl3wbTBHQUYFCXVOi7RjgT/VjPxNBAXtdCqXEtPCmQyrtUothiOAJB2gx
tU/l4NXTQ5MKXo2rIlD1wrtkGWrmDSyUTdazAZddPf15i9+BQtZOhvbbbQtbteMzMZyFmXOO311u
8DrZ6VoKtrmtZrySXPD0EInhFszKCFLzy306TUAWP6Z010luKnoELB/Lx49LpfA/a6Zxs4yAhSjm
LIQUhTpzciTNR0ZdS94Bghyj6LcXbv3CxLNRXhCcANu3bOBZNCxleq8NdQTY+x9m59W9N+7NwlY3
2T52Ta8HAGkP8gNHFfi29SN7JndZ6jO5ctEkstEscvfDht5LT3jPnUqAt56YB0KJ7932tqKrW4cR
KvxDmzjGFi7laaQzRrWNAcEjH+MZ7NJJukuan6lUCcrlq0E5/SuJ3z4d5Z3/ppAAo2RX+aZx0Ks3
eXqLil1aAMqk3LHkMccIeyhq51mPu85Ec25JbeSBAqwFsPhfoKW23qJn+Sk/paFdbEcw9Tqp5EQn
cihdQgV2tGqzZ5K5O7JHbSJkBZgG0giNhU85O6rd69gBZu041qI5q7VOZgwTgwaVoKkQjQ6c0ZIk
aoemhp4tddsT2Qcoku1nb3qgm2qLYuNJBeHkvfJ024RWa/nUQn50AYxB0pyzIbUs6lSfYbPM7d/g
++3gOdx9j07Wdn4QiFpdz7+ieCNKBtMKgxkaVu+dZ2zqO/0z/VWepvuxsSdf8/WH1Ccf4ffIFuYD
lrDiyv2cieaNaBrUslu07F2Qydj5JjvQu2L7/VvglAeh4azb7Jk4znIA88PAbrQsqm/Z8vahd+JT
b1NHfQKHgkOP2Sn/FLUwL6+AWyrykRXBrV5gtnJBlG+kQ0oemgHYUGh68m7v42KI14KQycQIqoEC
FmeoeB8neRJgG2MLFLOabA/WZx/tbgtZDUaWdOl/hHCuNDUa1lkJmEsksAzI4xOqlLcFrC3X0tok
K2g0wtAcZxFp1ee5GeJwz6jWsAmMHmF2KkeAJFXtpqCNoAqx5qrPxXEWETIVQ3oVxHVJYGda6HfN
Sar8XDQYvZrkOxfEmYHSjEkYK1i40Vd3CeBQtro9uuNhAE7RAR2E+kd3kLYAQ3sU4VsJRS97enb9
AYI6Q0YdorWN/oUegRLk5qlnedp9UznWowZu3nA3e4FXiF4zos3kTJKYDVO7HKtrmT/yaA/u4SlD
28O2S/zbVrNm++ery5ml1Q36wBgE6ejBBGRmGW0UUIjcFrJ6FQDQZIH8QGfH9fx3m3cmW2LYuvBC
qUQLzCHM3hptlwV2lxxI9CRp9lgBp+CYKC8pWJwiQbpvbUHPv2Bx5WdbSYIhosOSxWT5fTY9o4PA
RhcLiq62lcQCddfWFJ08OOlL4cfkM6YUmIyzOSI0jKd7RfpZ574qKpuKRHCWKTVtr0iLiKmUH4sE
CTAj8BnIUwUbtzgN3jWeq8LZYdoXedUVkMOsjZX96CSvUbyw/K3qJ7RZu9Hk5KD7ECGSrNyrMBNV
IcDYQQjBjyTN45Ah7oZUualtWf7su9bOc1CWPY8BevBEDIgrruxCHOfK+jLOgMmO548aNg91Ubga
S/weY7J43AkWdOUWuBDFObMZr0VzMJaXVp97DUv3YLTxbu+ZSBvONJpeourEIKLP72f5bZKfzfm5
+BdPRihiGCo45TDLzI+L1INmGeUSEIzDM5pw9HhXiPh/1tJk5zL4ARFZYkHBKtzLk5m5mJF2rTC3
MVX6nYHpWQlrj8WzO8fjto6nx9uLuPbiupDN3aaTooyWPkA20d6TyhvSfVZty/h1rr02+hbqW6YC
Vns3VK5GHlURhtyKt7qQzllkCi4drR6xunkIYGXyswEGaBqFdlASwDr3AosRSeON0sqiLF1eXZ31
IKu/tD5xzKK3SX5AL6dgXZcv5xwKcp4I3UCSCbxwfkRLTSqlNwNopk8Il2vpSFDaHVj4UCcRyrzB
97JAqymTn1Dtujc14HSm77c/YXFZt76AuwnK3JQsOYW2yYjOJNMcZDS4NbJD5VrEg7u6sGfKck8R
wADlHSmgbBfrh0gK/UrT96oFllMlc6L8579RDM0nuGFVDAVz20jCOcoKGYrp9U4DXGWJpsXNbRHr
Cv0VwfkWEEjUgTRChIyO0JGCT21GvvWY9pskfb0tav0Egojpf9RZ9vHsxpaVCHACMoKvaY/CWXCS
/fZk/kQl5qHIbH2vbbNH0a26Qp6MS2fpwgYaFqBjeLYhSx5TuY8hk710XuKCw2WLBlgptIFjvqXA
/czd0cv9yo72xh3+cITtHtQHMVDmYhnXRvr3QzgHUKcwyyHDh+j3mfOaHoD1Ago7hbnmEV3pzrT9
kbpVbUsvxTd1FwlC+9Xr92wVeENCr2/c6NjlKdsCHIuoBxY4GnDdAbVqiNgP12LDizXnbKocm9Qa
ymXN/coFtMHmvR2dfpu41pP8xLxoAZsXIYGuGxc40zFcYKHvni9SYHXrQSGgRBwNw24xU1UaSyf0
DEzF/pTpra1jHk8BMr0Rh04mK3appG6nf2FUQfAuXD1SZ1/C7XQUyWMLsgH4CAzKDSfNKoBqhRnp
xh0iX3CkVq3qTBa3sbFZpZU8QWttXxxPqMr0D8kD2xoveEilNjjWASvY/ZTcR3AVCxy/SE1ul4ky
WMyIIFqi6FowMGzDUrdpOjvpf0WDZgs0XSnfArb67/5yzqNKQB2oVxA3SW9jpNtdvWsoKAOAbqW9
WMYDADXsuBbouBp5maopA+8f5QZ+ikSaFaMrGwgNutSekK43jeoRuBIyuMRu67d8/pV7OJO0fMmZ
b9T1GmhTC6NniMJTDPCKHpVaKnAD60KAsQLMVRMzKdztFZstS3WSA1qcIRQ2Kz9pTT8iIrC69VX7
XzF8lJe2ozSnFGJASppIbhE8pK07WIISh0gKF8+ZQKaLxqzAiqVbffrNrIekcENrFmyMSAx3mk3M
MkwyAFvAftyzHWnjL6kv6rciTX7JvRoJDG4l14l5IWWxN8wG6xrfRQni9CanaYwumR5MKxRF9AdC
3bhHE3jrRiU8VuVT9hqHIt6Va9u4FMwFUUpXE/SXRXhOdxslOYzZrxFT4reN/PoaupTB2R9GXEo5
ryHDUjBy8D7ku3zemGAfa6jiz4aAROfaN15I+4OncH6kQFbV9SOk5aYngaCjc0nxUwJHy6xg1MdC
KCyIpVZ69C4lciZZmYDjBRESYGh2aKBU9hhEqo7sYHmZHZ9aHyMkqvM0+d+yTb8fbN2m7u31XVzu
pRO5lM/Zqm7NQVSl0FhKmRdiIJ0V/m0J105/kQDPga4WgFrx+Jp9Jy1ozgmm2srXDjwf1oHVr1Hm
UVWgikgQd7voo1SXKC62QNHy6+jnTPbF6GSD22EC6rZK1wf8UqXlYJyZidEPeTQCWcsh5RdQrgzq
ZDUFgafA967vjUkxyokYhfDPpCnBmGxmYKgiQZdybqaICXa3FVk/XX8lcCd4IhFAXwxY3ywn9gRS
6yEunYBqx76UgP+gu+1AP26L/JP4ura4vzK5E42u4cgChziuLPhEjGeVdp4VtUesLN8CtVdTQcKU
K7odozn/O6DmcseU6uaQ5xl6w4tYUj8VDKp9dWMpgSnbHI9kGKsPjUXZUy8l2imO0c1lm1Yfb/O5
ZW5SIYyqO2b+zgYSvHYTmT41RUVPSD1i2ixVQSGAVImK4cMw3IaMBn7OdBX5ycpKT7QHKTWdpnAX
E2N8TRg7tSxGxnAq8byqLTX+6s0JKD2pBbIQ2mq/IlInaEpLc+AwSbqXqOMzqWi+SWv9WR0l679I
+7LmvHEk27/SUe/sIUGCy8TUPHD5Fu2yZC1+YWgz933nr58D32qLH4wmb7mjo6KjSrYOASQSiUTm
OQetINSrpeimsCJpY0GFe0AFjRsTYzBAZHFqmVJOjLojOer+lGf0bExSZBuqrSUXo7F17PwaXWET
LKDYpyw3QT1YpiRl8MwxOepSbIfmobSeJRCVK8Z5EkIWSvNS3Vk3H5GHNilqlFBfq8nyD/adBWrV
DbGUa9gT05jZdZPuppzptHbHmub7MIgPE9TOmlZ+XIcVzasJKWBWUo8XY77bLEfRIXqr0V/lN9js
BqqyYnTXlc1r7FuXsrJV8y46WZdwnCvzQ4NKMmvnSuTbIW28xvwa4/q1PibR5l+CcF7MqE1rLnqA
BMUHXjWixO3T26pW7LQ4J76+4Z0Fj+1gfsURYLCuGEQrHBz0Uge8pZRogkjALeO/QCy1rC1X9e1k
uO+w/xrcCfLJtqbW9pXX9bEKJ9REnSHQ0fLBK2ClklbGZtGCfIq8U9NwovmxrTY8m3A+FxjcolUZ
VetkrLFokK+J5v0QENeIEUE8k+5d29IUE48IVXwqjk8dt9fT7WeqSRHQATs9V8GWFxqe9jrSYiMe
Ep1AeLb/FwjP1Z0Mmow+3gKZ6qJ5CHO6y2vL+52V+YTgAiAQp0t5J2EcTRl5oSnZ1dQ6ev++jiLc
vxY4FFHZhLcY3vgstbWiKMba9MpDmzhEj2ECsWuWiKigVLgOJjSEBRjnhNVWnUmRAMzq73z9RjFL
d6CvZlq41DhCIW8dTWQIcPjo84FbMlGQfWoIfpeXhq90eLgAdW1g1HY8Ui9PNjbQv7ll/Dy2eVOA
YrxR6w2O7TzwpJJ1QdtZ3DlUfapk25Iu5uIrmnytfstLiYbHIqC/giCelDKfQoV0BWItNKThyVyy
If/hJFtFMVsoXBgsGWk+F4x6oZo8SqGW1u9C/2N9ocRTCNJXGX3tcDJ8ARda4bUknwDSxXfBvJeH
rzPdJ2Da8oN9Fu2k5rUOv0bDRrAqskZkUH+ictaoSaRo6hGofvMSVQ+RErtafy71RzW5S+gW045w
IhdoXFSQQqcAeWmgSdJzpL5piWVDLP0/nEg25EUQMI1FHPis2zgub/3umlhXo1zYXXEGrt4maO28
cNCXn4DIYh1Y5EWWIQ8b/AK3DK00nVuEPEbt7+dxdLIovOqG4Ko2phejyXbrcGxl+Eh5ubM5owSf
BC1og0OrsK78BOlAY5+Qmzjd2NqikGoJwyUEuwFcdtoMGGiZHtJW2zd9Z9eqCd4xYnegT8jHa1nZ
askVGcoSlTstrcQPLCgyApU8W9130p4R6/4/mz9uuSLDUhuiAKJjNEyTNaGX1CTPY66dN8qXdSzh
cPBKzWRhQATPdzPkRpq1vdajcBreV1bMs0Gjz3W0VVUgNAkUtf048pnOL2eBbRFPSgcYiqubM5rW
TVdq38EHs8/Gv8/ljPJLtKviXMGWBcHEKVYdR1oFiXsU15iHa4Jil6G/UqN0wz2xdeaM/ASFc0/5
pKFmn6KBNK0P5dza9VZYJjBvAKD+UJahOwBhhdNhTPoUTYkPAIqUYhaDHlbRdkV3P4OOSfalt7DJ
7Mb0N+qPBV4XXD7EQtslqMShj3eKaoGLBYUELZjADERNsm+PunZrgPwgzi/ai5LGt+v2JzCMEzze
JQZ4lACTSY0k4E5FQr0pDik0hZtkY1yCRxNYxWJgXNyZh7qeNiGAlOpYakdKoN27h1BMYj0Yw46g
eihNDmO8p3Nnt52JS+BWelWw1ZZfYHBF17gY0aEk+IJpukynySZQes4P69MpKDs4GabBRVVZ0OF2
xNYvkSbPB7OIFltoYYWws5Uh/Ii9Dt4kVIa7AleejS3xb8AtE7XP6CxFl8Sp8SSzMU8D6WpHRcxD
wagjmbs0esy1uwZ1U75xhMKGjb6s9TELN4r1icqZrFSmZJCNHu0l3U6BKDBxcDncydU+KOwS7D+b
1fPihfwE5Gx28NU8k2YMs24uK/MaCs3VuHGBEU4luCUUFHWib1Xju9QnzfDLoBxgrnLUXo1WOLpy
NYEXXlHxjGvlpQ2K/s62QhLbVJt1u9cKdSNsELg4dvFA5Rsk+ajCdwo3BryoYmnoJpMldNVUbtBA
a2J98URzCQoFUG9DhFMH2qnJZDqov5JhrtHwOSGeJCDgvwqLl3UQQfzDeBp+gnB2KaWQdpl7iI6D
KMkZk6eU7GXQlBrOsEU+Iai6BB/EAoozxla2alAYYTz66AW6M5a3EX0My7ux3VtQ9xlKL00uw/QV
TNVzdxhSZ1btKHKJ8bw+ZJFfXX4HZ6NtBAYJFD3Dr2aQZ1AfcnlyEX5Cs3z8nRWk4MNAPzkUKPgU
RYJ2KRpWBCNWKSr6dhORnLLYrQ9HUMONeV2gcGFXaJVhqqVAiWnmKo07Tq+mfNbL52G19+l5b2Q7
n1xEyaViOGP3TJPv/vwKMp/1z2Czxh/6y6/grHUqZXloOwUOLvKMCctZOF1F7TY08OaN3Gi7sQOF
uwPNtToIxEAxw/da6uicSyUDePNslW7aULwhGeSFtnTrIqkKNjv4gZBjQIcOa3Ljzsc0rsKkDDHB
FHXC4DN2qY1XOWg4J1eJjYckMBQMIAPvYjv9Xh/ALHgRP36ACuSaXEWusseB+YiyoAv5ULrrcy6e
g58fxj+x6vVQdeOAD6vMu8SHnPR8TNSNXITIQRBGYYhmO5Zl4dZ1VocpTXPILWX1QyXDR8SHdjqj
s6eQrZIR0TwvoThfFE2o05lVDKdtPBlvIwnZenrcQuBcUFaBAy6ZgVBkkBVVKjvZerESnk7LQXDe
JQZlWaT1gIjQDFefh5o3ZC+hfIjR8S2d+c2FMm68KYmsgIAkAx3HjJaZPw9BWZFNscKsQNvJIC2P
LqwtCAHrvKag8hmZNlDcoi2SswLwQuJ2EsMKUKd/1uyavWW5zVu0f5zcDmVTmes7PvRK7cyAOGgB
Xdx1Qxe57CU8ZxlSkdF0YkOMytqR4acRfRvaWTT/Dg7uE6z5D+2ffIW3qQ9y3EQY5jReR+BUjF/1
4pqSu/XRCBdsgcKsdJFzkIk0WGhwgsNGO6YuHfSgdJqt4meFXYJ4h6yC1gN1b+iXAv/pKcpA0s7o
wdKCVoPsSpL39Tja5oMP2YDZVmlxnlg3GfA1c2elnrW100Tw0E1DmhldAXjU4XOY6aQHoVJMkJ8Y
rxttcEfj1ggf6fhG8nsJOjCz2+hnJjaFek2KjXNXsM0J0dAtA8ZHxmPERfpd0jftZKGEBhyYIP6Y
6A6aYBu3M8F5B/ZfpOpxrOP1gdd8lAdFT2rwWTk0NO058uZZA53nd1BANugSi8yN41WwA07gOLei
h2AljVhdtjTEO7AqX6roS657xPR0PKyb549jg7MccNIx6Uyw5+pIfZxaTmhqfe1bKHYZzgo73A2O
j4pJ6BGjUu6s2KOKGFrA3qvpVjb90jso5HNiO3DfMje5UB3ZNp63JGxFc734IP6ck6xUG2ZWFjV3
YHj+mIzQhTsNIZXcByCLmH7jQvyDlI9CthEys3zc1ge00AwoljoK68GTnExzMeq35ik8WIn9PEC/
3bDBM7cx74IdewLL+QVS93gSaAD7AO4y2Q4qu9tDRMz2j9pNdDEfrF1/ntojyIGsb8gwZ/aLdQQj
C4rfVDvYNa9Xxey2u8nxvfUPE0WY+DDoR6CsEhbPJ+yhWi3jrRIf5n+VduVF4LZvXWWbrn8ReEoN
9ZPJRnxw3GovEm3jJSw5tUM/SCVlhmKGEzQgiVbBsPu4PjCBbhXKAhYD43ykKg+0rwwgjG+9qx40
L7oqruKn5mvk+HcU7y52cKc9lQj1UI7gnoVeYn//Dz+BW/SsTGiQBiiTm5zG7sBzpVxA/PTrTXb5
9lxe0v3wCJ5m+0VyTZu60/lW44qoWulkCriT3SJBgLdVTIF0uByvs++mUxyofjCPb0/FXo5tP7el
b9qdeWftjdvJfl8fvuhSeALPnexjjToiLcLw6fW16UCa5FVxR7uwg9s3xSkh76M69WhvFA0KapOx
7gbU1/B/uMfzHs5KQKubzaw41/eackdJhOx4iqJhFw+j4BOWgjO8fEHXwkSjyLco9MbNxzfhZgfP
ADiIZPzD3+6hc1fqxoB5n1tcfNXWTmTNhlN2tGqvqsfCujYbO+hQJZRfzeZVuXU3FR0oKGnVMH7K
JIW5M1IayVxoHfAHem7GbhAfcwhDD/3D+gJvwXB7eECvBGlYsakvwYVVxQVR9DepDr8orb8RBxPB
VYWoaIPX0SvLBFq4IYXoyFAosyXr2keXeLj3b00vPY735r2yVw89xJqky/z7HX1HvmaHo2TXuJM9
Os3j1q4Se8zFp3DDruPGGAIJs5tM2LagfmpwbYx3GSgyADhCqMDu9/Juhhre+nyL7h8s5lFQSAZx
SCQWTp3mOClyqGgou7fayZmNcS8Ry2lrLO2YzXaI1kUkWF/aVvUIBKvXwUUOG6lxDXaFW/IvTxmp
VKtVNWFbkeDSlz96/8v67xcEzkRHV5qC51ZBu6k8UWsI2AFJwmka7aAsjGA3KkEaO02GvrF1NJE5
LdG4kCsOqmaqRqBBs+mY1/oOysPeZILIIdLsKdzISgnnDkNDVSCYZ1AaeLpujaEEQwfecLicCCVs
zcUopxu3G1Gin0CJw7DwUP0jg3qKEcTFBBrMsnWKYrIjSDTPPkrzatNL/OK8B+G6D1pWSYsORq3Z
c9NBmzJFIlB1wJW4tVlFjoHxAuPdi7XO8284pM8Cte9qsABAaKsc0btg+efZlO5HfzwoKdnleboz
hjvGzp/JoETppmNOFLsyS7umUB1QTSeUimPXDfDi3+L8JcGjFu1KJ0/SyykywSnQpnhgNTaMXLjD
oC2P+FgFTbzG34UTjaDlS8aXK9WTMVwolk3a59Lcd+ENLe0xP9flLSFqUaUVWWKy2VxcGXWf1rLc
ADNoEjtCRUiuSk4weJkq7eTierQulRRabB2q2Hbdb6T2TsA50wxTn4zxBPBukL62DZpIzPtGaaE8
n9mjX0ED6nV95wmjguVw+a2Xm7QZWzbcEjV5yNOE+XOCpKKuuXoAovrKVeuDDDZ+VcPVubVTeR9J
Tp5+QErYsD42vkZ0VC+/hrsP4f0kDeQRX2PEjWuNFz8qS6lLRm/2EwhXoLf4SZYyO08eq/RDMu82
8AVlmWg5hyuCQ4eGMZ+VoAnapUPSYf7JfY1oSAsfcIMm5EihIGHsrAQ1aVtvuKIr1xKTC0u1SFHK
UetB8pLehf3OjM4mSbctddePpV0EG55J4Got08BVGq+AIJbhO2yoIYc52utRpN+kTOrirqpNJ6Kp
bUI6rtx68GTrxd1vT9C4zVT7Sq0HEStzzQMYzSXo13zfgFTcl2QArV1zqakbp7IYEflnQ8Yyyrxg
EMojtTxpEFsaUeo1NdJl2mOMzvcuU++G7nvqB06fbNUviNy9hSsbrvGoJUNpLbPrhdOItbhvdYo6
PAXLSK8I2hkJyW2t9uThSFIPbPCOJqG85oV24ApOjpV6WDddwaF28gWcFYVgs5ECCzOtGsVT3pTl
0WrJFmOJ0HgWw+QiHi0apKBgZZPQ5zgGAUiQ6W2tRw5eeXat9hu1VxgSnuQs8Fgxt3g6qUbcGtk4
YymtSPYMMjtm9KhE0T10e3ZTDKtVyg3jEUQ9S0ReORZhmxL3HavYRD1vSdKD3wROkv5G9h0wqN/R
sDlA3s55eQmtb2jXRDGvhCuZXUrzN1l+WTcHgVM5geDcOtR4yoGw2lM5zg9IWtr6uGNlB3ngjlD8
IdLTOp7QMizCuAkh9ATXebpWKgToigT8846U272k7hr/uo4gWupANMVdhxJvtgUWZ+p9bk11MwDL
mAv5ZmrLSyvSb7vZ2pc9qqNVIt0RLWpsBdlee2zS6cZHvserKLQl0iy+bs0s+7rxTYKDCySkn+Pn
doYFccreivBNfhY/qEXzLZPLqzRN3vzhIcPjXOL77iD5e5rE9qzluOwHb2iO3TpLBKHeyWdw/rYo
aBebrEy8ya96i54pjYa3ggfj77PMwXQtNP6CcVczQMl0utxzkxd4QwIOentNeQ9Ro2OBvqvNIj5R
eHICxK21RvsxUjvMa2++yWG316cWKVHf+BqE+UFNn8GvfFCgRAi+DjdrHhvS33TUeiwxw0qeXMWT
DJmRbMNNCDfXYvTcYhd4XB/lEB8lU5sYF+BhjBpznxkoD0WnyrjFXSj0Sgs4blElSeqkmmCyuwm5
79YdobWKepp1CxZbDlYT5Xfoa+CftgZ5zEEThXK/qnRCo9z56LilKL5KlI3riHjyPoE4z1TEut9P
kGNxkvxdo/ONEd125o7mbje9qf6wsVRbw+LOkHoImwjl3dgQqoqbqy1bzV5S6iso0q3PH/tFv0Q6
1s9h8UdHkUHymGYoWw+j5wZZ81R2szZzWvpYha5hJufjsF9HFKXWcDQiXgXXIwFbGXeMJD4qF38U
/8/ZeBir0VZQapBHJbjEiqtEHR1JBy0jfe+67zT/IEll4yZoy7nl6l228TEiG11+C7eqMyVVkmc4
b5ohzu0ab/vuUKmhq0Xhln6naEmXUNySlrRIzVgDVDIEx7RX7CDqjvGcOfNInPUp3hgV39E6deVI
RlSAO1SRLosKGX+VHHRj431LeKAtRvQjcbyIHmE1KUSQAONL6b6LtEepQJcFbT0pUO20JZAiQSXb
oO9HkLVNfewZYO1pNM2Ohi2tAtHuhFcnTEoUklA8b5QpD51UUZhxEwxOWtS23hpOY9GLoX2NlPFu
AGXrhucRhQ5gkGDSIcikqfzz5YAopQ5NeFN1Ur9adRfZTRGnAM0rt1KhcRgEysZmFa/rJyQ5Pb78
0kcJPDoiHcOsDCgazaZXR8Nohz3deuBimVDeL0BOGe9bBjYqKLlOoTJlkCJDxYRmrX4ZBe9W2p0R
udvLYeLFyXeDxogCLdsg3bGQ+w3vx07HX8CZJid0WqEDwxc8m0qsqkMF8HKKd1FMvyT9vJHgF07l
AoLb+CQeY7mY4WA7PdmhleYgp6lbhFvd8qJUELzr51C4Xa/mWKUfilpxeqGGXwdIG436bUPcpDrT
w9hJ5ScJzQvr+1/oasAWzlRNITzEp7nzyoIATINDUe9w18n8XR53e6MgKCndYtfbguJMsqM62mQ1
QIWm7o2IIeKJCb9Z15Btu1kflXCP400GlBRg+CB8Jw00Sy28u2LJpNRBtIqe9RzcB4ip6uyVmsFv
zeEnGhv4wrnVQdJooOGBc1MudRNPmPHRCiM72UpzCt3IYlTcaQgKPtlIJ4xqCjLIyA12VH635OZs
DB97Sdk4GMSr9TkozuqLsKhIyjoipdaLUusyMV5bf7hutsxeFFVYi0FxVk/yqE1IhPa0foostwr8
BI/R7W1rDE8BGa66aYAgG/pPzlM9Bkf/up0IwVHbgaczRufEC7H1KBOSlQzgFFQOUumO45vUHK0s
sovmLi2/B1tMmsJZ/QTkZdnKQEWTK+S3kAzfD9VL17pW8phtamIpGwPjeV7xClv5cjMw4RVsgcCL
Dr7boUzW1my6f5EuJ7e5nr3MDe6kiy0WH6G/XIyR2+e91ccTJEyBTZI9TSEhS6xjpm4dquLgcIHD
nTszVcBV3QEnedE8/Yx4munRL6U37fIvFdi3cNjt5fMtujbRaxyU23/ajM7d1wLwOVOzZLAP0E4L
Xenge9rl8KB9ZPv8MKUQHHXq76AOohtOTTiv8NJMf1pBSRf3IokGz6gAyT+Tf760FDRBV+5k1Btx
g+hxAJV/nyjc6kGHLlIVZjlxvafNNQ3A3okC7rlx5dotg8ILpn2FuxkOJKu/X9+Owt2xwOZWNM+M
PoJqIXq+Wu18SgEiVxcgQNnXkX5YhxL60gUUt4qglJDjMgBULg17CZwxZII4WIaCBT214S6+rsNt
rR37+eKIGEu/7NIccIr1XCq3Batp3nJmW7PHfr7AoCmSRkiSYvbqCEfDbdYeAuPM/I32GhSo4eFP
VlHP9Qs5Y9OqbWgmMk6h/DyV3Lp8C7d06sWhEFNeJIxYSuM7IiqQ1GYmQVRH20fFhK7AUILqbH6e
peYS5A9eP5dPuQIO4OJufZ2EgcMCmDv1IsgM5eipRNYHCT6rcooZjqT17QF1UTooPmOd/sZrhbVA
5M4/iBRDa8dkoYqMZvORGLvYfB79/lapWK2YvKFpwOz6l3j5E44/gMJcDsOexSpxi/aBLnjpJzRi
rU/iFgbnqPIaevAZy39oWDXcDHxbnuStlJHQ2hcD4fwUCOqo1jHJ264rQWYlU8cnpjcbCsKvYisY
EhWgovOJMR2gig+FqNz+rZpKmciEaYMKYzHvo+Im9p9Rf60F962KBOT0SOixi2/K8NhsPeaL+sJP
wLmNPQxtkUesFVZLoZV9rpHLQH+koDIZ7RQPatWFQqHtsXHaCCMIJg6pgWEZkSU34rkqjaaIAJpL
Gdjx0HkQR+5AiFdSzW4a3S6N2JGzTc0C4W1ygcsNdmxCc9RZ3DmjxGeK8Eyrg9LWnLyxeEALtaNM
D3mIYgLzgSZbGS7xTC/AuQi7a1LVACcQQpekR+3CZZFfGfRtiiFmaJx1xr7y3aA++FvpEaEtL2A5
ryMFc2CFPWAl4jWxeVt1uk39aqcYD+s7U3gMLYA4ZyNTeajbEEChER4nXCZNKd+xHvx1mI3x/HDv
i5Mobmk8lpTBjJZvV8P4GKozZMbB091tCUD8OiQqo0BINVQC/kG0np2eehLYweVBUyF0PF3pUHPP
pl0wfqyPZ8sufvx8MaAw0VA7UGFAMfmulN6oOn5w9FEyUDFyqGEnd7uxsXvsww1g8UyiUQa9yVBs
4AvrigxaLEaA+0ILWYsA5BnJGKCTQNqbamardXEg6YT/Xh81OfY0LKY0G3cpGuBS62FSP8qsO258
kXh/fn4R53fLGi2ZU40O8x60lYY39Nd9in6/8IxOJbik9hLeY/TWs4KNgE1USG5ZTE/1r6nggsMm
BS9ybmIq5uq5DtR9q0OGcNSv9UlDB47hlWDgVeLbNpvOenPEq6B8pGF2VOU7NQ3PLOrfV/rrYD4z
1Xu5IzDF8Kw38FgFUb19WygfTVp7QZDYVaHIdt/gfYUxAQ2V8WV9CoWh52IgXOgJ/eeEThQDSfsb
8D8G8VuFUiRNdoNx2lgtsRP/nDNuc9R+2Vs+u99W5Lwld40/7uXyVmmvNdxbJANPO/frY/t1N2on
i8TsebFRglpOdW2AdZSaD1ox69DIClo0R28d5t9syM+B8Y46RxduD8Z/ptRgGl5lgqQqswMZBWbH
JHGyrnP72QY98n4DmFnZafxEZZRcgJ8FbWzIH3MzWlqoGITDwQCji8aHxK12psPicUXq4tcEqbMx
dvr8YszcGnLleBrdwP91goHPdEB1lGSCIJ0buKT3aoOHbwT5FeiwGuTQdol8rkXE9SvTzejkGMVN
LTt1mjtzA9Jy1U3Da3n6+6yNp9/BHVkEVAJdWOE7wnYud0jgDOAVCmVXy+trv4BaBpjmpt364IVj
pyBYQRMQRWDCeYBhJpAipXD1nXWVaoeguk+KDS/DPvuX5WXiVxQ6xmjd5aa3nxs8tU5o9vFB9Tz1
wR7agF5namj8CYlr+RcNemc2nPyv4fLpCcbtmVG3AtTNa7hQhaAyxJJu1l+JJm55RnKjiqYq9Uc2
cVno9MjRT1dV+rS+Nuwj+YlbQnD20CEzYEkSIIz8WjI6ELh5enDRNhsNpFswXAAz4LRX2BZwxupS
Hd8LNDRkt6a68aQhXhHUOiDLAmoAXoQym/QhmFKsSEcGuw12SfvxO7P1E4CnqPCjyZzkBADldFfX
7F099O9I729Y1q/uH5ZFdJTfQBPUhGYj542NCAXWbLb8PgBhJcrd4RTn0qfvetzljwGVkvdZK9v7
2Y/Bf92kib9xixCQ5eMTUGqIImsT5Hp8JfIc68ScZqi01LviCi3kx+AbDeyGosPHSx+okzv61fn8
rt4Z7vBkovcnhtY2WLzW51vw/sg+QzMZ7yV8N990pFbqjFIZsNVrqUvORjf6pj+j1/Tg29lFUti5
Z91Lf19Z9BSTnM6+KfVaWFnossNRoff35O8/3Z7+fm5161aKlZipZITqRV0edOurFbvr8yZ0HItp
YxtlcZxnkTVImgkI3byS6DEwE3uTqFC4pS1olqLTgCV8uC3dm9Es6zEwsoqxU7zgeskIFEAjvj4W
EQ6IEyCRinJ/tilOxyIn3QgrZ206vZ7uzTnp71LfDFHwbXbkdUzCYqtzlLlV3iciVYuCSVnBP5Sb
PaQTErWtJVT3pQXCze+BDsHUAlZv9OASGR/XxydyWqgfl/GMJ1PQiHDziKfFalA7+BRtBNuTqeNG
ssUoLxwQuhjxogbRKtT3nU6hMcuxmuk4HRUyurnuTTSxazQVgcetvVsfzY9l5ycPHQxIPKhoEvx1
uZoyTtOmZYLn1qF9IpcqeDXs8Wm4SiD8ZZM38zjs5ivd/ppf6tfTzXT9jMqBg3Uw0MCIpgRv/XtE
s7v8HG4zV8Msz2GJz2GLOPoQ/5we1hEEzXMUj+efI+b2c1RkKvFbQKg7euVfomHupnWNg3GVnXXP
ktuflZe6DZ5vjDK7yL3W34h9RBtkic+Za0uaCs9hwNfAKJSmF2Z05ReSW+AStD5SwRsDG6kJxmok
09j6ntpRnOIhuhlQD45d8yQhUk2m3NVH9ODr/j7N9IPWtbFNUBOLEnhktF256P7+wze8p6pjx2Bv
oh+Ys+U81ga50LBdSBCCXOSYyXYDfYtsi0Jb6EIpADSLyRfwRFGjUWVTA+JntHZ/M3u0nfqgmtNv
12dUtDFR/PAThLNOPTSkqmUgGjxbdDMPd2n/gKuK3XXNxlEq2ghLKM5Ki8BX0lkDlOlf6Gj2z7ts
wzzYzPM7f4nA2SH6Q/RS6oEwaE9ZdBijawSsSvm1gV3ET8WwUd4hCvlxKjCdX8R6v/DqtGNTFzG1
cB0v7nMVXFpEtevwPSzfNONblB/XV0o4fQs0fnBohR+QNEK9xXSAErxUbjwnCCcPfeaMDhUw/MtJ
oibBEPQ4c2j/2AYXqnyVlEjIWM8GJMompxre1scjNO9FfMdt5byXp8xk8V3ca16F7Dv8NhqJtq6b
WzDMdy0CkdrIrGwoAZPSo2ahR11FuPo7F7FlhMDtorlSAynI0O2YD499eSZbX9fnSuRgl7+f2zpz
opRZz0RKleZQ9t8HNQKZ9b7Ptt5fRN4A+q44SZAoQAcrhwNtkRgtj7ABeXSVIbQpOfTy0Rwa3Mo2
zgzRuiyhOHOWwjzV/ArrUqrIf86Jq4aPlRm56xO3hcJ+vlh9qdfbIG6BAiqqTOkd1EzoILr7HRCQ
EumMYwvFbKcgc0csvbXYUMi7XzmGBubCcIuFQGgC6KP9Fwh3Ta4DVMoFIUAitBPOauTq6BZPEsUO
u/v14QiRDPRCogkTGow8pQgpkXKPFYS7BoSiNP86Hg++7EH/fR1G8FSLeyUul4z5XkerB2dsYzJF
JMKjidMbmlNR4yHWDFtT5xoCTo0943CfMhAP+MFOb7ZaMph18SfFEpuzPnNq1WJAnYtD8tnpaH0z
W8pGKkDkT0HLAlFaMOfhkGA/X5heEM5hDnthNVcBXE6X967WgLg9hk6zIxUg7G5rP3GJWYN+ceg2
XmtFho8rKwwGbEkaLkin6L1BfGOOcFoYMSKHALTFpXnhm+3GLV1kKyrTckMPEghKeK74LpUsDacu
DiXfI2j9DPrCbUFnZ1W7dWsRjucTiCcJr6ZiCEt2gVDlRhlspfbbO4jHDjIyLRl2xDqa2DYXcNyV
Dzn8YsoKRBJ6NNpJJNtpLB/MEYd8alR2HOVQrEXp+njdlfNWnCQKK5CpRG8XMpVQo+CWTs0VXxkh
j+X4SNRq1peyDEG8Wl2ECXE15b0Fv9X6aEVef3nb5AANqxu1Nmdenw61Lbdh4AQ0yg+kAid0jyfc
6mkdUDi9BorywZoL1jw8hpxaZ+orc6UxSdA46c58qLtmumnHdbfrCJgQ0sDup5s4BI1g+L6OLDKj
JTDnRfEYXyHFA+AxyO0uOuToYG3HjUhNtCkMrJ+i43ERKX/u0JFLq050Hae1ZOxnH+wle1N/pfPW
JLJl4X0YqgrAzK+YkDrlqTuSbtC0Dow4jhLc6FDKRFe9EyXpoVeaIxT/DhGd7vTyGW270GrP0Sau
nJF8S8xROFYI6oEqwAS/Fp/wlCRCJBQfMxW31EF1blwEdlZ75dbxJ9oUxicOn/ccc7kxUWEDi8nj
L2oUe5VSfpt92e1JYJfV+xRtleuJ/Dck/mRZQxsJCpw5/63NGfonRrAU+JEKYnt1zg51gStYPPo3
qlpcjkMfOqSQfIcoZEugSbQlURDPhGhk3Gh4HwAJmiauJ9AwqPQ1Hm767GMenLHZjX+/j5S1FqiQ
0DKYEDd/mUXbghQkBFd33Xwsm2McP0NULimfO/ltizZD8PQGLA1cNxTFwYiCOD8TD3k3wcNgRpFS
7vrdhPemYaeE1wrdmcrOJFBOIo9k61YoTOEucbnDfkygxCSDiw1iy7v30bmVDk29M799kR7M2osa
r37Y8DLC1aPgt2D9nvgf5970OcVrDOuUN1M05tILTbZV5UWOv4ZbjIii7WcukDh/ltKhMCOGhBDL
hpBdKb8MiaNtcY4LqpiwdAscbjMEo6GOJsPJW1TKKofeTu38TL1tkZF3q5vKd+j9uqfeGNmPI2QR
PvlD/NccRqwXHx2zxWORQA8k+7KOI+iixNBw21EoBccc4RP8c2MUYGYekbza645yUO53hQOpMPNa
+RbczU68r25A5jHY8/M6sOgoWuKS0zOwTUGqXpgDrLJ5DfojKOQCa7cOQdjv4I+IJQa343o5VYtE
Aka/S4lNHqoz3x2P5rFx/bviXhnc3FFBlUfd4CV1ztF/4PzOjXL5BdzeS2NDUqUUszsTcpPM8g6E
V46OYovZvOmr+vhjwP/1Nv538FHc/L+hNf/7P/j3t6KEZmKAkqPTf/3f6/Ij/8dN+vL20fwP+4s/
/yD35/YfxdVL9usfOvk7+OV/gbsv7cvJv3h5G7XTbfdRT18+GlBU/fj9+Ez2J/9/f/iPjx+/5X4q
P/78463o8pb9tiAq8j/++tHx/c8/FGb9/7X8/X/9kA3gzz+OTfqSv3/88jc+Xpr2zz8kRf0nwkiQ
FUGkCJTjeE744x/Dx48fEe2fuLAiwahA4NOAJDX8R16gkOvPP3TjnwpuDshzsmQnngHxowbJUvYj
9Z+40RIDuVbGbIlahj/+9W0nS/S5ZP9ALu+miPK2+fOPU2eJwiRkUlmZILYefCXyT6f7YKonKvtd
0XtGEWKXF4H3f9R9WXbdOLblVGoAxVzsm1829141lmRLtiP8w+UuAJAEiIYgCYyo5lETq01n1HuW
Ip714q/qNyOvKTYAztlnN25Q+1mVO1xOHLwhplC+VmI/31yOa8J/KIsh/KqiqsRo5/k1bZ7RHumU
2PoLwz6v2y5O0Ra9FSXIkOsG5fJPr+PPW/75Fp8v9X9fDm5UKOWhNgMp8kU3sYRLP4+JMp3AcORs
UgnvoNhPLYjkr4Wh/e2lIMaKDhgPhzo+nJ+7zt5OMrQRUhNIhDiDuqgwnU2t66samPXY/fq+jl3/
P7eXP+8LTjAY6ACe/otXg+EaEarRbLoZ+WR3NNH2jAI0+aSGkT8uwZa3eorlViO4WL85hDSvXP/v
XmN20NsAU6BjSl58OmsY9vkOuy/4uJf8Rlrj63LU+nbxdoDEFslvv77fv71eDhsYCMFREr78bKoe
6RAxTzQMd3r1rvRKvcn3ZL0Jt7K8qabXZs9/f7kDIkVzjWHHi8NdcVttGYFPiiyCoq2CSbWLnGPI
tcvsgozE6fLPby8HVgF7z6g4AlWffzvGSSbY5jTcxXbYjJE8egg3CLh4TNT9BteMVx7ny28VKY9h
VoGPdOxACRxen19vykrrU+TadWLwKWKZ6XAyMXQxkxTslcP2Re2ZoZB+fq0XJ2EVb/kgEqU7K4S5
GnMrGjIZuDiPDM6ShNg7QuKHPZr3t0g7sXdy29NbaGFRU/36If/dTeODPcydIcQBOvT8pjckwE8I
HMVDrriADCfYZmREsJvVqu3Lry/1os3+cdMxkg5QhqLmxj774qZpTpCMaBFEPm57fg4tImoyD6Hy
4uapaqAo+0SrGB1/ZuBjHbk+hPVkEL+CRL3cJNIQjEXk5IBCkUAfVL3YkWQ0Vsopwjv+gXXBHcBR
+1twtq71j7++3WM5/LwbAcI4RNnwlDsM4uE09PzJJjrQGklotCtATOlixrJ7CQtCGAOjBul4RZBu
MlIYDm7hP4xCw5OGrgqdTZXEyMqOs5cQ8MogsQpmTbp0WtlNQvPw4jO735aUjI0i0beNpiBsevFa
Ytlfnm4Ecgow4YNbeERuHp/bT2WynVIRKYPQ43US+oKLaOz55XDt1OHuURrRIHB3PatV5G1CevXK
lvHXy8PgGiwd+Jcebo8v8T9VjRWYJIZ2xmf+FBOQtZNepQ3c/fIIiGAeNWXishnE3qW8zKgyXgPf
//rW0wKz58MED7oiGPk9fwBmEiykiwK12kjVmHL4xo6cFZVTcY404EhVieq0ReE/c4M+XvlxYYAe
CP1Fq/4SfpHMkiifpezyIeKnqpqrbsRE+uzDRNyRwabvd7e+K2n42kzjZcF0XPgQyxdHYQai4YtV
Hbo+ikADm7tiKE0b7E7Cb58DvePx1O5iRPrp/Koy528eM1xasX4L8ENgwfxy20IM77ICkeiE2snt
RqvsZPJ4vZIcIS07wtDebaUpH0WVsVcO+b9eGWVoiSIRU/AfjlfPX3CybcVuwo13CTiqbT8G8+8k
HD9IlyYXl6zl1bIuFzjjZa/sWy9PX4x0wX3De/3hXf+Xqc4Wq2CacTJ0mdKwFt/KqAt9ltyULnkb
keq1fOUX6tDje8KZGyMDGOdCemQsP79PNsMhVQ0maJMh8p9XxqK2iOkCajzbDuy517d9UBBWy3Wg
t8RX7E0B3uQXRGFppC1MIwKGXHolN2meglSvFxZX2yvvAlXkX14HeFYlgoCOKugg8hw7wk8bTlEC
lSZTlLd9sQsOyHjV/lOUzMn0RzouXN0V1Sz2W76zILyBZfeQdEM/eFgqZzSZztJv8XDet32fHg2b
j6g0TxAT14a2j9kn29swvKsSPK3HnlpeNak2cm8SNWfJ9bgLCqNxhMdln9bYzQLmiyNGh844HSxg
SIUk7Hgx9f66pAmfLhYerlvj4A+0nAKwgvhdsiXlZ6M8zz/2i6HwbU9XLdt+ThxrRsJWAHzBsnyh
gdvNgwy0BMcPnxp83GLl35FktyPEKQneA4/HMYWiY0rjujcz/BcTOpGGz6jRTqKKXPhkyy39Psp5
v4hMuN8cgZFQUzotMnDJKvL+IGuzpuBL2c5wySobGN4H4sHTZLNXATiAYSvBalmxvcrgVmERklOw
cPO5StdEnmimtzOvaOWuFBkKWgu/Gnv2BXW/WSgA32pVKHhK+6z/5LZNrddEB0i3Xndd3O0loL92
Q0vCa1f2mTyPVQ/ZXbDD4qimaRLMbdoL+IqOZFawgmcQZevYMXgFsdh8FprrqEuLYPlQWg1phB64
SyD612S/Gsywf95Lsd5ZxJhtpy1Yeug91l2NDbOS2hNjPAoaF0nwv1G+B1cTws9vMRdYaop/TzVx
ORR3wtP5D0y4FnGOkSqdXbk8WJANqzcmG79RTy49ALCrotde3BYwHUYSCA2luqYkDLqQj1Vw1lkG
Km7kAwh1Rcx4CnGog4en7kl+V0BxmDa5XhRrJchkQ1eVq15bCsawaBSlZXza8r0Yr1k6kAhmr86c
cOgmfTd4qsg54Xzf2sjReexC47abPSWWdoEayHKVGy7WxkYqZfWE6tJeVXCSZafYyf57VQXbXW7C
EKh2NeqtKw+bQmTA+fUpkdr10OJK1MMcOhNkxCxBD8fGfJ0/TjB/ZV2ql0i0FLsJlFgmGZ/gA8Lw
GvQCH0dn+uWUeLbM72I7BFMbLTEZ3oZbYro4G3d+EzrP+JmDVVDeL7MvEduKVu5uQ3gauVEodx73
PAmCms7VXHTQYfblo1yEvpV+V0lX0WLGFfTmynaBMWDURNxhqCIogkvO2kFAEQo7zGebpf1DOmnD
LzjBh7me5LBiOSmjdJ1xGa61wLHDsaqGBRv8BJw0MlX/AefJQGpPw7Kvk6pHIOXei8N0J88h1pom
mFblMrZgRhI3f8mJwRmB6jBI62KrHEM24qDWBxr1Q/g2phNXHbCG6W0akzw4J3MI8UEYCt5NTMOf
DTdoqwcnc1U9oP+AglcigkW+2Ypif5xlHI3XFQ/tLdMR1V3sRvF1H9m4Nctu177Nyrm/EmyPfLOj
ZILEnUUF/ucxxnxincJogKuHsgEsPpN9bkXFYVjGZwC4NQr/NajFmpNvAxQiviMeOv0ARlVVy3xF
L6sDcFIDMQvvFz00PbJhHijVKmlYn9EWuwl6GMrTAljiJLKqsXyI9EcSsJzWizRiPa2jXGgNQ5+F
YmQJo8gu0lTS6xHcmOVqhm9ljBcNRBup9yvMlkg8bdsJwqwobCdeZXe2wob2flzHdEUJAAvnMxwo
i/xdmqkMg+0pXAakJmbldx6uva1Zjk61Y7mCs3OukSKxD2aF41ci/eMyBmAD5yLaT3408ETct8LG
J6W3sKxHmEKK2ojK99CJUhlexcMw3AsnxdROU0WSexum9kMR6iK8kNBub6uK0CfoPPPfuOCVq1dh
TFijI+kvIxycbZ2vfYBIxX2UVW1QmEGNCjto1eXFvo2124XP25UH0Q62O5Meh822cdCsmHg/kj5z
HevF8JDrQVT1rKizdcmXAm25KvnjPpfQdTiXR4+FEOSrgd2hbFCgAb7KNXC/0aGeu5pzM7urEeuc
nASp3IhwuWU1oCSN5WmbabG1yMCGk85YMvKdkxGU5rkMGTmrJSreVzujSxtv0QgX7NL16Nd4v/qG
IwzT1nJy590s4jq3vfBAejAcl6BCwy2KBtuNN2mMcIyhnwy2gR0B0a6PJ96IuQh+08b7PwRP9qGL
BpCfL9b3ZWOMjbOGCSoxznMatHrgOEeSNMuxLZHYD298pcELirc++B7RbHnLJXfyyq297DDQSnGO
RjLkdToMEeJbgjC+Tn2Sri0bTT+1SdKX6tQPPRbGZpJsB9skwUlkMXhfYRIfwSau3DTSDGmeCCjC
+BpYuJmh0sD6cPGXjU7mNqSm+pLRbFQnuouqrPt1Uicn4dYHzi9PZT1WzH8h0RrIZpbhuLck3/zc
jkGR36tYOV9Xc75mHWx/S4r/6DDwg1uNR9oFNddgdn8joLEnHZxjizu4IZmnZefjZ0ugDDQZRPGt
3+aUNChJxJdsnSRHTmpK3uAUNGs7rq74MqfKxHWFgWWJ4LsYrpALkmR87Ua+7PXuYYlwyxaVmQ7u
1nD9jZh/IsWufp/cElpEFJlSP7pi6+HhCWY4CEYkIt8CS8r8HNgyou+59uP97Odpa0DHACEhyKYY
9WAAj003p+4KRsM27/q8T/h5nUn15PBZpy1IDRmy8cyBgfhx1K3OV7hy9oPitYTKEcMdMNERv7Pu
R52ZoPQp0lzBgQJ1240rrJ2ueAoX0dPmq/E6XKL99026+CLLsYzqIYU/ZTPhhfNWOiGCbo1K8h7D
pPUEBY2T3Ub76Hu/hJtr5mCRGyxnsP3uaN3pxRdrBCwIyZB7bQIaFo0UhZtaVEzl9SyCJWy8Dslb
mU54W6aMNL6hyGs4KUW5MafJyhK3pZOKdJDmI1E+nWDxeo7ygBbtjmBieRNERjBssmv8ec7gZdsg
6xi71wQ5cHqBtjKFvAMLOqxjhFPSU2yJdNeKQCK7zbKu+hIBhiRN3sBfjMHGHmhKncCWG/9iSJts
lx8xQWYfRMo8qYmeyQgArzBDvS7p/j4I7dylKyufhB+UbmG847brURXbN53bgXc0p/GTCFby5OAr
PF+CfeIfvZw3+S0EHnuu0sUnp8og6+2N6HOIv1YEE7DGT/E+oqSF0O/WeDrc2sVk8n7NtLoe+nKV
J1kIiV0skMl25csNuFDFHb/4gMPDZB6B19TTmuxL7bI1F9fazzNt8kKisw82dfj+7mzSCLJfAn6n
13ClJ0zrqG+23Kz2IjcFe24FVRC9ODJsSb2rNOVXkyxhRUj4NkUNcLDt94lkfVHvVOjyBiXvwi6D
rjw0DpjVeYyMyuVz5XiB5d+vgtdMT9NNjH7NnEeiOSqbsicXDC2SovVGuoZuO00uwZbMONY3M9p6
jCLzJUhs9FUuZEVdRPocBgGZTtrNCl81K02RvwlUJ3oKB8ZcnXuYiiJsgWKJ+pBF8MROyYS0jMLy
U5Gp7S5QEMrXu4aXT1tUaqugyfD482hMK/yDoTfYfUZUuU28jOXa7a4vLVBNObwd1II9MVYR2DUG
B+NF7lTCMCCGBK4RLi6/LSwtEASaOhhKUfhUoNZV2PmKdEMgA4VXHdLthm1GxUmZYpcF6lVeqzUI
0zqdim1pNx4jlk4XQ/IpEWz4vI4AY87GgW5TT7YSb9jUV7rbZcGSel6T6eMAhEO0y6ixQllpC3Ax
yRZfaZksKDsR6dajnIxSVQMYsGm9aF7ADqpUqjoFptxEEw8jhe98tSuBQljo4ar0UXEOTQW7nyQd
s+Xelb4cGgBzTF7AnQ9QhWwbquyM5aTFdEG6zrkgzFq1zOPHFWfX3lIdFbVNYerQBJEEK2ivBmZr
M6LOvN6nELzhGKXeVktUr/WajOqBcls8kR3WZsWy6+A0bj26uzzct9OcZkHYWSxtjYEEsyGKs2BJ
2yDbRZdUegIZyMRrbQNrP4zAJAoAh9LGzSChnT3PoPnhheKx4sMs3AxYcfcy7ySJ12/DBvTvGip6
E94McDpOvpXl4i7pWs0W+QRMfCnVhFxEi7znrwO+UqyU1IL/Hogike24YQJXpwFOuhYacjHWJi2m
FLGQiz8X1bLEXY7nFJwFJRFvdrEPJxGDfNdKOHxcBS6f/AUBq8FXPFMI9bJCDLrWEg1vLaa1unbz
7t6hi7U4wD3S9pDYglUWBQhUuA98tV7pmFeijhTxNyorHUNRmgTbBWR6v3XTsM9wR5TwyC63rAIt
2OJ91JyZDS4tPPX3sz4kiWi/tvfrgDoBP3fVgD9ptQ8RCo8PQT5lulkxsQnrOYr7tzYN+wLqf5yY
HQN/2reCeJS+dO/5rQVikDQpRlzvR+TN4TMhKbY/4Ku2Rh/DMMqeJnRnO5atvlSILQJfdFtQ0lEp
Eo4lKFCxROUa7yjP8/JkFhw5Gi2dbYspnlijM0YfM65QMpSMhe+nkpN2VWQuEb9tVn9Oe4NQQKcC
c20YXNivYLbDL3PJQwVy3M7gGC6pPlmyy6AO9yXOuggUCSj/WQLIFwOxbYCpwVaoJqWjvww8N4iL
IOlUtrQS0ZfcwofvhECF4rE00H2zdHH8bchp2TeUgmRUF7Or9jqOyiVuk4Lh1INVpiT3GAvlT6lF
kHcTwM7gTWosCLSOxEtVoyiAoUEeALi4CfjkZqQ02D6s2RTQrZvdolfgR4u8o1WBJBMp442cDqRH
gQiTC3zyIi7JTaxogdC3mfq1EWKf0zMfclrVE6nyDk+07x/LbBiPBnXOGATsPDWnTHqp720eGPZ9
YgOBxCuz2Ktbi7vCuCVGKHdnuUOQOwaUY3WlhoIgsk0Ng7tkftGsWYY0VN2ErCiPbHCU18C9ZPmU
69n6J7X2EUNRbN2HMhy3+JRFsESGFzPsLoMdBV2zb2z/5GMZXPaIYkfKyYAzKWTSfk9H429JYD22
kTRj2y3zOY0aQ2Nx5MrPJmoZyo79do5h69cAqLdLF0YG8+e5xDaMeIK5D65kGQ+2S8ZVve3D/Yim
welh7kWAE7zOEpuwuyUoaHUqcZAFMBSKC3IRlmAyqcYArNgJtfHa5nNVsNYHGpS93owcpVlKEGoB
fpRqg2Tnf6RIFX4jq9jHp4QcryTUKcGJv6q8zdFi0ToiQIibhAAkrPEZmN8LYGBlV0Ir4BoszTVq
k2rZ4mvXe/Wp9AUqtD2lQf5+99xmaL3j6Hq3npTNgFHx28KBX/6401S7JrMVK1pwZsCsFeUMxLfK
9/jrzDXMGbAVD8hXjmbID/ZoIkmD32jkkWRsiJp9xmFeQ/1ZxSecVjBVXpcegQRmkeR9iAosaFKx
atqCLACWYDaWC2ZhfithuZfl1NSMl4tA6mCAaHXPw0C33vXwC4E152DQWuiYXLZxLJH5h9Lzakzw
03YYNvsGWELhASP0G2sFSNnQMEihwaEtY344dzCPbq8I2Oc9NvaOoqjFQp2TXKBqXhPQCBecl2ik
9eSR1unJh4gz9Opg4+63yF4Z80aGtLj1abCMzZDL/g8YcE1fYF5bvodYc08hRO3hrc/SFRMPX0r9
iEtm7tpXaobxPUVoSpLT/ht1evYXWbkgvlB0kjhRTNbDDEWq4h4VoneXfGV8fzDak73GiFBKRE3y
EmnPgECw9/hSF9iXF3M3GAIlKrez/lJErGANR2X2PXBT8SVc1HyfIkAJqMVelqjmRb5wlNRAXW5m
ADe0S2iW3Q4Eo94LXFE8u1JKhh80jpyP6cqhAHHLNr43BQu/QaKzx3dSCUBkK2VL0oYpfnjlp42c
Z6lIfqITTK7SjMSYHgMrW5AEnX7FuO4scdzEDaTkOUHarGJnaxL0sLNGYV/viFd8yLchvXKDG78l
ikYVToYg+oLtw6p3qKFpfjG9K0rkKKGAaIEzjPje0Y7RLoLf4l4DGnJAFjEI+kZM0O8NuuZRNEDI
wi4zCRAbU3i86NTnwSeD1hANMwJp3blwOp1vmJ8UMmjD1SZtBdesFmEJEsQ2kyD8fTMmSC8upGEn
LZNDGybTDjgx0e6EnDdgDcAeV9NJHhdoXUcPeWLBiuU3nozB2gQJTuPTGq3hFwtp7AANX4CxVAZC
yOOQp2N50+t9K+s4XaSGD820HaxvNJI3IE6HJ6KswCRgIT0ae1Isa6uTH2sWKNp1zL0ZT/gWMFub
5bQjJjEZ76fE76hj5kXPwMZM3J9juDUlJzpUNkBXlqOLWgEXf8JWN4rjeyB341iR70WAsFwUvQZ+
dcChB7wyVdjtLDHvCWtOsBwam3q4TQTKIfRqzDkWzIoKw3YYbM/diNfYwHedq0ukEvRTieT91Kl1
qaJ61Daa0GIrtQK+O9y61Tr/HrAh9Sf43m/vRMFXB46Mz3VtSBmJpqD7fhUtHEZwROWcX0YDHA9X
MNiHRjHKDyTE7OmqWrHpPwKw0VXHfZqj7AGMmZ5WbyHA0GShQKorhHCcxog6eK9MBp07dopIoz6d
EaM6xIdKKO+tQuMi4LaKMcC6Tmd8dMt9CPy7jmCTiNaQRepUFd6X6EnkiuQ+Tw2Q29LPVcMgAltq
ALz8jkpLAUXRzH8AloPhVRnOE3r5HrhGWAzbbyZVQBrinH60lV2zJhty8IkX9CGqJkkAo3g3GYe3
DdS4h0mbW4FIEpl8G7BhAVQqUnfu/QAmbZGV6ryNWr3H04lkA74dvZEYFcE5e/XLTTGjBKpNLLIz
NgR0Muvmd9tIPpVzW84+mGp0fJJ2k6ywHAOZ6x5DlriYL6gsQpQWXtkIAXcSyLtA+YyOphxglESJ
xzQ/8jwqkHLDV3u7jAj2C1jfVyc3RZk5YaNf59twxqYO4TxY1pd9DTmqGrKUY7tnTC+nOJLqd+C5
IzogD7PwlqxCXWBQCkx5AwNgPQcwFH5aBkf5JctIcaFg4USHLXj5+wg0N4U3fGje5olGnvQwheQN
nv2CoEMwOe77bE7gd4NDoW/kSEPUL2QQwJ9Nn94y15O4zjOG7itOEWzTAeWivl7gGI5kWQy9q1rF
vE9PUzgnFIkeZHxXEU7RhUzl9plCep3VTPRFUE9bsn6AbiPwrffG45TFNKiVS6lhvj2j3XbAHfqO
YA4oWqRQCdNSk6HDQoIzA8g7m/GTdjpCOwT5iXizDB5f4Vz5+Gu8SjpjjCXKr/mo4qfUV/lYH1iv
rSF6rSSWeTyeiKPJ98LoCUJvYdXHXCflOVcloMSqDwLMNwpEtOOAzHt2YjRJwg6zZGQhmGT7DdyC
9cu+bcBJetbPbWA2NZ258jDJwlGH3RnRFDSpKT5LAh+dacq7Wcxwal8CTLjOc8DZ9ZgXY9ZUxKvy
wo3L3lXojAbsozY3DzD9qSLAQYa8NdLsj24KVdTJlM7s7FJwWN6g+kPHMgGQ62/SZEZwI8N8wrST
oOH2hwrGaoI4bC9M8R7jliprJ4f543lWWK83GNgN9G3MC57c2X1f3X05DLJ6N8d6PHJIcrZ8ysYK
Ep4xGoAuYzRpHqJs5EmNaaPMX2M3/WV+nMBNARQBUN1BPkeq2PNBacqly9E07m3Ss+1qX5L8Ptzj
qsMml5xij4/y1/SXv9ACwL+A4yKIPhGuDFbn8+tBTafp0GfAkSXFBo1xQptW23zJ4TAO6IiuDXgi
y/nHRf/kvD78twi3b9hXPZv5j+WXdNuDlvu46O/flzef5cv/5/+LnNvDoOu/5txefxb/481n9/05
T/f4zZ+s2+JfILRmR/zoIYsrYXzxH6zb6l8H1xaiuQiUKHzYh+jiT9ZtEf0rAh8OSe4Q/YOyloBn
Yf7Nui3Cf8HqJP/BxQXN558wbg+GyM9MKbDPUlA4QNiEkwEkLi+pBvAkNAqynZbnXuQNJhPkalij
FJSOYrwgaBGVFlkZOLngVNk7RTLLbkKP1BYknQ9kumAzAVJG+gSybSDXqJ3psiHXNUgpjmpITdjH
NUPP38ys2D5NgKqKE8xwd485UMgQHh6F6MOGmGB6l2TrgmLFh7WMZfIAeHf/I7pRwMfRXJg6wQC+
sqhAzx4GTqoWqRSfBw/PgibsB/u4gBSyFC7A5ISZ8P2G8hMYN3KNbrYg9Bqy4sCdjAfWXwcCQEuH
RBF6veXZ8DXe/BWSPmANOsQ7uUbQ4I6dM5f2A/iREQfqoNTZIPsCycxhNJ1FtTxVgvHpNBVo0knp
3xQGc5FaYRsAOgWnj7OnQfQ51hHmUNxizOWA/X/e5bB8EgBeL/MGGC1bUMn883X4/90KO7ha//UK
u5v1+r//F/n+jNZ+/OTfCyzBSjm+XiyhAgRZMEL+7/pK/wWmYwmWymEBjbV00IJ/Wl5oC6Bux0QZ
EufjR38urwwLFmsVtBa8XLCcivKfLLHnmz9IQyC2ghRXgdYOYnv0g+zzE0umTAUObil9m9JIvc0B
lz3kkPxqIL1yR/7hEG3vfno4f27EP3PMD3bjf67p44rgtCNuukDiEbKPXxIBfVK4MNaYZAI5EO8l
6KBnYBvm6tdX+UEue3kZeGkWCZ4gXMhe5g5WAhE4QCGRAQ93yI+IUAseMxfo+5lNFsmvLIufkmUr
MBALlxIWPHxJHyfMoJGvpAxf65mGC0NZkZVJm5i8Qqe9zWCQaxuTr+GPh5NrDL7aaQeoBqaJBrGJ
C9ajpA95BAe6CSlf5GigO27mcEc470qfUP2C3JECtcfsNV4B2s/hOAMJ3W2KoVU1YdNBix/1dwAR
7LcQ7BOGcSoaiRaTm+gzcKLhqbI0hiOoGUZysxmxPVJUr6pTlIUflpLNS71EKHnqIp9NBe+ibYxr
2HrzFYHFxQiz0GGLamBSw1AvPKygiHDJxM8Y8NHi4kHUzZuKIjNMwy4GindMiKeOA573GBdP5Mop
yeYukpu+CxyhGAdOiHNq4ONK0uZ/iklmvOp13oZAkh/EyOBiytU234zgY4z1sFA8KYYZxtGgMsDn
v37zf/2icxxiOH3waYMhfihFfuZ9wa1jTiKG2ZYC16uzfRChbtZIIUKkaMNC9lqC+A/73RdfGtZO
meEMxecGycbzC1IQKsZitHE7eSmWVskedd2cKHeMwaFTJuRgK/QrMtmyRA73qsDOfJaDBWYFIkM6
1BaH2xXRlTDdYvscZj0JIrdqxXaStmJ0w29ZZukXtNPFUIe53bZLgfLqj9Eh/PqEFnc66aDEeCaU
a/xuxRj2eIGkQMKuMUntd1iGkhXNabNFPZhfQT/MCRoDzIcw2Yah91Qw9L1l4fepTiolBWSAc/DB
rKC01RGvKtsqtWiwMNQgmqxwFpjIRNgnL2Y0gP/4BR5ilwjkftD3wpe00cpFQK+hzASdaPUdnQAn
smkPQIKB3T+Tr/ofvHCl+rEjoYoJMY/D0y7B33z+AqOxsBmasag96oQvfA4GjHuSuckqYsBM2Ozw
biLD2JWWkac5BfoIKAEsnZJV6OsTIBNoJvR7D7IXgI0o16ALhRAknKdoUr8lPWhuTcXn8LSV+BVY
0uKVT/6FfO64A3i+QXoBslMGpVPygmlLRFESgXDylou5HAABG3bDxTFVsftaYUqzuP5hYnzNu4yF
XtS996Ls2AjuQAdInMPrjO4c2F0foS9SfkG0yDxbkiI0nir0IAsHXWmw+HZPcyX6qzUkdKyXEnYR
jQNt658lrPy4I7DkM5x92aFNz17QeGE4K6JUTxlawTh+s/ShgC+8FRc/Ag/59ff2Qn1wXAtJwxlk
vniEIbRix4n10xk44s/QdvdBGwdhYFs67ui6/FjMQ5MZo45u2ukHQM3iu/KM3YADjFHqmCBWsfn1
n3LUs8+3khLxachuhOLryJZ9sZU4oKEY2BHauc36Dvzaj14Fx+4JYLgm+wBb+qh6La48Oxqu51eF
tKxEAGiKGU0GFc/z+1/EAfyAcIUZv9MT/IZTN5+GRcq7pAevtA4HwNhtxktEhxQj/B4Q0Frpehmz
9BYCEYm5SmyDETCG8UDl6FRgWFLNawEOGWIEEqJFWYsoTCPMLMXY36bQ+ulGBXSWLX5ZvluVwM5G
w3j4P5ydx5LbyLaunwgR8GYKAmSxfKlKpjRByMIjgYTH098Pde5ANIeMPrv3oCPUIRgmMtf612/u
jDQuELVG+RpU0mvDE2TSNIblaOSSIG2vGgMpjPSrlbABrQTybIETM9tqoDtpDyTFgBoWl2uYX6BN
V2JPqKjEJyKJbPGQzVgpaMAkU5ioRv4qPbV5LbOsfCprq7NWtHDZkVln9gwGWwdsTZXZcIWbfHJA
aSojWA0ZEWZmSBmPfuQOLihzbZQQejl4fyDUZDfNoqV3oALRFsvUa75+569Ht42uz8UclCrz3+U9
cR4gjiwLBmc1MzSJWakPeVDZDFZnhsAkVnNlGdNMHi4oDaWUhpp2dVFE9Xa0oc4TWJcWiyI0zAmy
Rk60woyr8J1i5uPb5S/mSC/Fx7teC1vNtRN1IHuv9/LPx1vSeomcsiTUxmm8n4j22fUmEK+f9333
tYYT0wcpo/P7rIrq1yWx3dbvkjFR/HTo9b9X7mbdKg4+Je4G02qKgFVTj/j08G66xI5qnXl2yAer
dfvC0+fHsS5S37Kb4tZwCrERWb78nlwk6nPWTt8YBVB5dXYaGLMW3wuZNrsqaoorP8mH5O/4ziDt
c29oLdntjjZURbOiscmtPCTlOcp3bS60F5eRd4alOHGGIfaPS7UZmzRaNrVWlN8Z+qURIKu32JsI
+A0uqaUQiNEMA6xOd1hKzFCWPPWbQim6u4KBldxdfp1n1hE/LAa+aHbgTp9I66cG3HgkMy2HOXAD
D6S54+NVP6lKI/7zIQC+YPNaVqzDpG482gStkf287WLMIGeG3l0zdzeEsZU/Zqh8j67Zxd8Te7GR
kfTLdmh1FzZfs1xpWs58qWuPyPLhh6KYPPpuFoe+PrbtKMjs2Ey3k2qKt94us91iLhI2Q9lW1yx1
PjxTj9YFD40HKVJcRH7H2katSS01buMoIH82TQnfrroi6NpSzUi/RcDAWDUtP0NW6J5I2yygB1lK
v/HQMDWb3ua324iqnHR/9AbHDuK+EUYgMYTcZgZCTEzTUudztqCf3Ehmkv+DJhyo6P/tJY/sHj6+
fpNmmPrbWj2kPv78n6+f9JZ53WucQHQRdkPpAsmI4YiEqz/PHyx4r2N0wvECodPswIt9MKcBQ9eq
tH+1ZqxAlYJrjqOAN+rD9vL6ddat9ejlUo+xMfGXGohxjzYns44BO+vBCTgel+h2lHJWgrwmZHBk
9gugz2p8tszKqoNBHZU7V62ZiUd5URrbKXMzuM4kjzKJS7z2fsoGGHnW0JQysKCcF4GiwZrFZ02S
Ug5tCjvJvGKkOmm4XdSKIaagxI1v5aQSo1FX7RxviU7G/ar16qr/zME8TUHfJ8mbrUKy3nCst8M7
zLwpeYB2QHOQQp54jOxifOvbTv/FZLf46zFcVv2G+r3fdDUh7X5f4+vK5MFjHt3WCnsCfDn3ada8
5TXSh+lPZXB3Dxa2cGYwIMRguQyZCmM3ThtidqSBuRkrRT6jzInel8wZPrVZk9jMWazhps1smtkl
ist3stPs36Qit380q8LsTYVYCxdk6YsfCfEZwp9hZCsQT40u9SNZFoySOhjXPoMqAzGnK2qit9sx
vuKhdubLxY2QwIQVKSU04eiHJoXNM2qjVoJCTvWDkHobVCIe/Txpq308UZ1cXlmnNStNOPEMiCpR
NLIzHlX8HdqqCqIPnrmRJV8RN5hB6dTRNu3h+7qY2pKoPDvGVhRO+8vqnH4LvmNdOVTOPTUbJlXF
unNQzxyedhaetjrsCCUoM3O+WbRy2RM6UAVW1/+c5jS5ghydu9x6pnLmc45BVT28nFstpZfrbhRI
mFubTGMqiOxn+VV21csy2gQpXXnJHy69R98v8DOZWBgbOfzLUelkSUXx2CIUEFavG5i8kaYiNj1Z
MFMg1yRbn9apZ9o/FuNwo8GdKv1SNeXbkJWl47tT5Ni7uVKVu9zNEuxhBJUYYLY7mWj0UvNNSfo8
C7plUn+KHJazX6HaaSEZRexgC5KyzDeSDI6uRCAEl1FZCQZJgnomsrz0U452B65f5kFWIdmvNX2v
UEtyGcsFhmOj54vlw1Jo3zQLmAmK3eQ+jbHSfoayZP7pkMG9dIXMniFWw72K3QxecJdNhbarsZB6
KdB6JTtHWZbfFltlsbE4Jh/NXkl+9oUxQ8TPobEGvZZRMOOrNeHeF2VQ+GHrFA/aqHKIuWne9EgB
8LQJzEUZIJt5y+LdDmMyfpeOhXDHQAH2PRrdDCGwnndANYkYf6pNRIr0NEv30zxXExSeNiO2ugP2
/rS0Wt5sJkM0n0SeQifTmzb9XtsmsWhzVo9Yphk2skPoCiqhdjAYfKdGZi3avsk2qN7B2+MJFxJ/
LKoeiGzuJ6JiBOMCCBm2RkLOEJkKicEGJtFCyn6TW2gQ0ihNfjeWU+Yb7EjsRz6A+ps1jONI8yK6
P+owlabf21N9IyPV+qvB1V9JO2b5PCed/bnuhfcszb55bRVn/DJ7Rln7JjR+2CZJzuHeeqPpEtej
QE8oifv5Omt6XvnZoHj5hiEsAUAFABcgZSrk10SRdrtNO5zroOovGOMZaeW+ZZU95f4CHRQvi74p
fG2hxApSIdRdXaLsuLXtWVVvMlFmT7mDNRPku0rbm67AIB6NAghlPI5x/+Py93T6/Wok3DuUG2u7
jXnD0febglxpXuUEsE3tQLq64s+9mB+txAS6gs4SXr7euh8cfr3IQtkucCdczSKMo+uViTDTVik5
fcva3vAjkY8klfJLq+E0d/lSp4+mrr2VDfxC2QYYePho5VDklkhztqZcul9St8gf3ZHA4lgOzQ78
7Vr82OmjMU8AdHQRdusrdHV4PW0weocQRy8QtWdv3FJWt1UcF5Q19tW4uhN44GN2QYGI+Q3Jkx/g
0z81FjoQJRdW5gVdJNEcTIVnPVQTQkiYNBop9p35eTHjNt9VYzreUcK2L2PeN9eyP0+wkfU21per
MhWhtTw68Qxo0YuZDV7g6tNM6pLUxiXUc9j8G/iWCvlXzqgWm2We+z+Xf9xzV2YwjmUCa4gZ6VFZ
7spCK+FdR0FaFPoLJBhg5cFx4F5F0daL1fkhUab8Su+zwtSHi3d1ogAlANszcf456kcU2Y6WmApW
1KQb4y5hcLDSTjELgrAnVKowaT9BZfHIW+3SKxbbZ5Yzq5lH5frcw8e5+O9PLmxNQkJSgthxzF9w
X0Z6Qkg1rshs0iTqtn6//IppNU6fl0EU82Ybg0ZCzY9WtI7JdpovpA+KGJrJVpOL+iPO+xbZoVzk
fDN48+QGtlXEVeBNbqThx6dZ9ssgDQRnninG39QjwoF90osfC90VwU1YRMNwVdftu1JSTsActmS5
KUYdnXQcL8kzetzsZ9UPtAQSAPShMDik8KPo4m/I0sFiRjOWsS/GySHexWvsb1hNLfCC3IlzblSz
1qAS8eyHkoJ88uMFUYCAzdrDaaUm3CgJdCB/JNiN5BdIpndQza0utFGsj0yhou4W/tkM4xGhFvvy
iHvrrGDu4i/lCCKXgun8onCPoDKm+vh9rKBw1lAw8bHk8TseKOG08zxd/HCcAeNFW++ZCCstNHY/
NXoOtynOIUA3tduKoDcU+1FrLRXBUQf5M/RSN0LuYCxIUGJFV94KL0dKl8DcR2TUdMgi2z5RfnCA
dMKviYZK/HZadNOXc750fq1KW2FGkXR/xDhYn6ShZX8pWlEZjU0cx69phuIyQD9V/4WuD5W+aAs8
VQphjK92l+ZKOE313GzGD+FGmeQ9upEugcCT1WWqbDK4+/E9/rnqSxl5NRnmUd/ejC1uXxvYcTat
n8yTYrdgp/8HLSsyclVM6teKiQhIpTl3nS8oLm6jxtARedCUIjhbIp1BXWPUzdepwDGejQdw1ckL
mNJlMtV7o6ZkoYmaJYM/Cg3p67DLf7PpEO+Ym9WEaliIsngy5mSoQwaH0FiiruZvKdNImvexri/a
Xouz1kanF0f6ttTFMsKYRLYUql0MsMrM0bU2gmixybfiZvg+lkVZ7eAQ5Gu4d+98w5wAoVORwsiG
0YChgM/BWlgbTa3Ml8GQy3Rjj8r0M41lNAUu0tBfajJZvxBuIm6oTcX7S21mkZGcG0LsVtFMerOS
kZrbFEhH8W3holtfFkSgGUjDvaXrEHAsaUtyj6sIl4FqMef3QW+nu5plkz4gm9ahkydm9rVzK/OX
tkS1t8nQ/sArxOUqR0EoZH+jp43VbUmBMpfAUfpZgyFhLTEio0EJG0vOBqp9qfJctGPdhhmnWHBD
0RQohjEZ4FhyJYNFeHxVvXEnhQj0NCmKjaYsk7HX1M5M7+TKGt3WoDPJlQbrdM/HowfaCZk9gOPY
0h0esHOGzgZzTDtIZQUIUg7RWnCODSWpoc7ZHpZ9soONf+20PbcNGnABQE5B68yPiMh/dt64cKzJ
nYGhCgoohnGJY0GONKed6ASDO0trQqexJ/QX2FT4pgCTv7wTrw92dO54BsO3DyCTAuPo3HE6jHqV
NuebTq3q1hqE9gCj1/RTL/l++UpnXrFKZ0VgFTUMs771z/951K7uWtSjpht45apH7CBThlo6ohi1
FoLZawudwYwj+eWrnj4fRSgO4FgV8vuSinF41bl1O1WdOb3LYqW2i1X9zIZ6Zw2OeuVSp0c4lwL3
oed1YWscT+VmHDfUZgCc0hdVPOR2PAW5o6h7Q9Hze4fkKX7AxO6/tVlx5Tg9Pb9x3FnNlnEtU2H2
HYG9WSpjLZOqGwxwI27SeZl9k3S8+8zJZx+FaHzlaznyhFk78pU9+GHPS6EIHHf4Vq1qiNXe7LxA
6Yp4eK/nVA36oYtn5tBF98eRmZnu0sqxsZktZv0R6uTYb+gstUBBqzEH7oISaKO3hkh9oSer6ARZ
lAxyJJdX2pAzKwC8U7dc5qUEVx07BDmohQbLxfNgzLPxgaRSIzRnS+5Mr7kWHXDuUuQsuCYsG+rH
4yWeZBaOE4sZBY7EySsvNWQjVadjISnRJVxZbqdbh2YCXa8mdTQiTM4Pf4PZQFw3K6YXGGMRx+Rj
6dVNVswlgiFdMadN7MKEZ6irkVRnDOpTOyT9tT7o3APTBDFQYj14J4Uj84ESK2o1wjGyKf9mk5J8
F91USr9kNPhy+Us+s38w7jZ0x8LnhzV+9LwSkM+0c4FMTUBeQ1ePfRv1CHewA4hs96meqF+sLmqu
FMdnrguizJa1onr8i3n4nuvYMpsJBWwgvUyEna1mfwUNEGYQZSz8Jh67Xdrhh3Hl5z3zaqG00Mmu
83Ac6Y+6WbjQCi4VZsrZibccehBWKyVXhb0WtdkVPPPM1sUTwtSidIU8bh1drFIdpa35PrBEkn3o
VqoLwwS3r3AgNfL3PHfm3rBGZ43dkco1I61zT+rxears0Lzk4ym4kw+JBs0iCePZjV9RrPR7AH0V
p5HWC//zGqJZ57gz8YgiHPLoOXPXzeE+Dahzlllo94ZZK2FUuEMUYnU0V2Gp5k5oZm30n09ZncdD
FgOEy2zgOHq+saqCvBFmslprOH8dtRFfVdfN9lo0WFdmJOtyPDzQDy919IjG2HTZqDMgTWM6/E1R
ZuTKWBCvrnwW699zfB1Tx3kNCsHqsH905gBW9rqKLirMqqS6d10XtSFDrnulWiC2QTDbXv7pzkw0
4dFC7MNP0KTtPaaI9HRcGZT5IvSGZoCukpVeiiaGo6YOncWsH6NUjq/4LHrT1oW6/JKDHX5lniZ3
EbOe2LcUTUGfDHKUQBbLKssvRwQF9VxkeySbirjyo3/g4cevCGr06sRncfAepyUu6YhrhMT4cdZn
QINBphXk0rj4nIx10j01QG6Zn0Y9rkMRHnddOFJl/u2x3XICRZbEdQ9eUeW7mAPymwpXpws6kY0g
wI1wvsuiZsRh4FryOpRG8r1UvOI5WzRL3sIEGj6XC/J1JkKmm6LhQlXpWz1EqyulwOnHC0IEw1Nj
1UEnP86U0FA10AsladhO6Xs8aeXz5OY/ImQ6b1d+/zMLG5yAE8DDK0T1jsurrJ+d0lHyGG2gwLir
bLVtbgzuc+dmxiNI9vIs1Gb81NMxPWJRJPE1SqM1IJgRm5NrVZhkFarPLnKY21y+t9MjAqATEiL7
tAYt8IMy+E9pu9RD4dVpmoSJJqudTMpl69WL8OWQLU9aFy371FqSK8vrTBHG56etPAhMakkqWn+a
f67qpgOmC0ijAoHSswxazJxuUrVYmsBpTdXZ6lQDe1wONGNb5LPuvFlx3P7W1b7xHqKhnYqNRIcB
a2ceccWBq+Z8czVj9d7q7djbXX5FZ4gb9FY4k6wQpgorRT+6W0fDzFaAcbQO6MYqKi+QWJOpEmRD
5ilhjbA9yO2kvLMMooG0qscRzKy87JEm0ftz+W7OrCVuBnwREjb//0hm+OfVccivRjAQr/hZyi3+
EsMfy3CXr5evcmaLJK0KTiqhOTr07qMtsqH5wAklSkIRo+NEiKUp4YIeJnAQcSuUDrT9l6/4ceMH
W87KaiP1D1ANKg625YdvGacjXTQytUK1n0VMC10Xb9biNA/wo6OtIhLtOYEMtMPkRu49oDdJCJOl
MiLOHfk6Yk6HSXWa71KNedblezupV4nCBdeECrk6u9vHKRtN1qtDI20rRB1Nnhp2w6L0l2rGnFZt
jUbbialxk01LRM1bVw1WCWHKhq9y+S5OPlXuAqaw7uIgpOMNdlRFzjHOMKUY3FBMFR5pJTNM2NRr
eplCcvIw57cx6/FK2WGceXY8lTm/IC+AsB6zcbC4GxWRZlGIQLQFUTPNpcGZxsYUSzeGHFyusjNj
GxeR8UnPo+QPDMv2Fx/D+HNsoxrczXCbv/O0NJkvDcXD4MB1gb6WuYh+6FjGqXDZFlQoU1eMf50R
hjx7fiHdbZxFw8s4mPKFOhanFeDJEY17CbF5Y+ur+jGdMrRtkzH9tGycKkNYMdpzQUSDs1nUMV72
g5k5+saMZwt/BNsimoH7TJ4plgfrFsWJYV8pYc78RjhpwgTiM1yr0uPfyFQgTxuSDBQnq4NqLuVT
Zxvx1jTVu0Lpki29tXdtYZxsCWymwNA00mtzy0Fz+OXM7WTNjcB6v6FruxEAyPi3TI5zLdjmY4Ud
fqIUTQg06RL5h+Ps8EL9aNd1rS08nWtoDz3H60aZrHhnZpK8Sbdqgsxrif1NJHoCq582IHzal//8
FXCKQltDm4cy77ingRJmNK6Dg7vUsAGuEE2FbAgk+cytgVjabG7gDmNUcfmqJ10GXx4ZjnBeeb8G
o4TDJ0fd2MPRnNpwqlpjXy0CoZeqpHusB4owQb2ww2fsh8Ss5vbyhU8X1Momg6axxlGtVsGHF07Q
6VZ9rrUhPG/vXWestMnxUDF8zGDKJYhanYx2LVPMK0f0yQHAA68LahVaUrke4wFyyUrHishXKDVy
CCaynHa4Aan7oSu1u7HM+p+Xn/P0kF0vSCnC68WhlWLk8EGlqURduRAdlHq5Ogc4n1pBVGZRszIn
3L+49GaBneGTtOk0oyEg1unmx2acGNOnulSvhqycflTcjw0WpoL4GbjeHN6PwHJk4lBpQ2XGFTfF
2VQazQb6cR9jJ4zzLcpzWdkYKC1aH+gZ1km+VZWotwWWFWtkJeHsqhRDces2hpGHSFQYETnmGNlh
Quq54rNzavVOYgspfF1Zkj9LAYHoFoJ39oRoeP6umC0OLpGmK6FnFxJXhBjRTNBM+FL7uUjN5b7t
l+xd6aFk+GPqDEPgRm37OdfHGQG+qUIML/rUfkr6Inpj2RjfDGPKO98am+SLquR4ihXtMmgMCjRh
EeGmNvtWFHq7q+Mm+Ya0wnpcxnKeA41J1o2HEzc+kw38zBDthYEbZ1OI6Xckq1yGI9Tdnc6UooJq
iSl+5md546Vv0mvTnVOkjbYhDCERN8R/zc2eQhkL2bSdyr1Bc/C5GjEHWTVAi3FjRGqBb0HvWM/C
rqTc5UPv3DDeVV34JOX8d/akbEL05YirL6/EdaEdbnLovugI2MVXd/1jvlIdM1zCClcg1JyHG/hK
qCLNbLmxAO+vHK5gBKcXA+ADt6cNZUCmHtdZtTAzzD3KMKd37L4Nilm9F26lacwaVpqcMirOT1rV
iEEuDknv1EiG/lq1SjFvKZDUX5nVorCEKifUjVgG+VfTu0gJXFVZ5rs+irvPSLOls5crLfG2wJVG
vx+rqoRBLrNaoARyhjcPWwstkPbq4JshSuW07PLqFd0/Av26UUAEp4n2NBjg4X32WnukGYF77z7L
GrFWiGmUgY8u9B8ZNKqBKKd30OoMfVv3m0FFhLXxBOaSPsM+qFDm2GORYkn8Vm9ofL0nHNab31h6
LdMm13siqQqYji/aPKtkdBR6HG9wooJ5aGG28SrYDtTQiRNxz9wT02iagra5dTCg7jZGAcy0mVh8
Fp5SpfiOHxkfZt+hG6dPSHp7Y422c+OJNh62BGXYT2w8Vkxxm5BlizlnAv2T+esYzAWdU2Cv4vdt
1AP9hsvSOMDE1VjdpKUd439Tdtrv1Ema8psZD4YVTB3mOhuAZXVvDzZmC/NkZbUPQRFqTK4kym9q
mloPLQJMH4aic7+OHYgVf6eWmo+mya+7MeHk9Mh+rTl6meOm1uAr5Y62gfHQvUO6NwdGOkb6p9Xz
xn2d8qibdgkEbRtizxithnSSrK2FsZh1WxtYXG6KmDvCq6uNctysurF4Y2m3+ZMcuvGliB2twLQA
YQOmw97CzHCqkS1nKV5ys9YqAM9anH9Z/bnNXddXtRXYij0Hzoij44ZCsB2RDWP5vdGpf1HrFTYI
umcpGXpjdW6zXRuV+HBENZ5Dfsv/rB1qhjnbeTVO4z71ep8HZWrKv4wgM3eLFHN1ai0s60eaT970
gBiUiWdEhu5jTATrp7ZR1W8SSgcR64inU1hIXvrNUkQWB9bUtm+5NiEl0vKem8KTQrBn5M78CNkl
/mkjmYiRP0dYZoh2iH/HDk0ckyvIWD5OWKnnm7bWiZc2LmTxYvT2AvyQDe5P2Ku5EWAmgxN42v+3
cDbmEsD8SFsQtkCSodDWD88bclQ4DjBRCkEax0+jFyX7Oap+u8jrXsAUrjGOzhQ0K6S3zgyZ/HDi
Hl4utppqLhKjD6tIz2OfeQcd3aQ0OXhE3odQbBoMduJiX8Ffe7q8w56paUBtPPiR+Kgw4Frv7Z8W
dta7SWXdlOFSVbhcYom2WXkCN1Wjw0PqJv1bgSXglQruzE5Ltwwaza1T06zeAf9e1GpoRoZmEqHi
lrDwRG2FOXzKrWtO+pekGa3df35Irkcxjr6C48Q7+j17TBb7KuYYwcF4wa3JoPGxZ4zOsrbDW32w
AfnKa1Scc1WUYTEyXFEt6rZjXr5CJodq4GEeKp3SOSEFHiYf5WrB73hVbWKFGGu3Iu7YDSGXd8Vn
10lwhoEFZn9rcxMN6OW3cO6t0y64dFSwb2ntD996q5Z2NdupDB3FS740SwsDJJkhaKXtEkoxXfuK
zhzeK6SETJxZJhOzo2WdY/un4L3Zh3otsk8Nnql7yDjePQyc9MoPfIrq8sWuU3eGDtTeyLcPny2t
E2c0+mwM6WGNG0gKxb7mvw0iavkQEKALiyZVtl2XacwlYgyaCw06ZWuNG9rSHCOayp63ja2Pht84
Lp6asyy3qt5ZbnD5VzjTuFkr6RmWke4wj/mQVvzzxfU2SZRWj8940rbFFxR08VNdVPObWaeLgxla
PL43yMjDRDGsV2hj3U3eR//f2OR/l0CcQgmWy3v6IEQzCzteDNE6wqmcdICpVOT5zuzsuHwrVIvM
g1T1lCho8rl5TbS2xzwc4zsV5XZefu6NRfsac2yuQumyfhwhbP/K6lS95fBjTAk7s7bgPYnhK/zo
6NUkCvnt8gs8s2PBXqcdgMUODHQMh4k0Tiu7XbpQYJVz18NrDbshHe7UuqqxmG6r22XBcvDyRc90
IEDFtEQ02xbDpaNvR8F3UuLk14eOi2GPblXyi8CV5yrwtn4TRwUve7BOpwfgZ4AlHK5jaBQZzg4r
1Uv0BmoYMibeZavHj247mrBu8XO7KZu62xaJ2dTbtUq/j7So+j+8Y6bC0JrYM92T7GWiu/rccmv0
XZ6cd+aoandySXBDNdTsvmqX3xon95Va/3R7osNjug6+BYQCxnf46HA2cLovuGZaZcW+wOPqZ4o4
2d3Q8mHelUTG3eXf9MwGTXPLtoteGCyRfKnDK2aFbfeluvQhQwCzDIZi0lf2U4HHC+80edYSFwrc
kutw9gT2j+Bi+F08IvGMvit5r/25cj+nPz7iDBrv//FTMo53BrCEMmrwjQ7dOEmQkLFHGGNXYvjs
Qthq8QqoKnV4yHJ11dV6KcIlM36/fBOnsnb0pdQiKuUAczZceg5fiucNsp0Vawx7zWjxr1rg+2/0
svLuZly5xs0iFW7EReGs0EBL+YKFFgkBYnbNFye2CDjHam6IfFVK+U5+YVOEOOUrUzCBXrzPSoQO
Hht2uc8RnYw3gyRlgo430a95eZwONthkme95QO5MClBTHT7JAByRxkMzhuiMcLsRS3uDxWRBSIpj
8O5mDTkvjdeeSIIpFAre+3AZoeb7aKVAPFcjH/ycxd5p6/I2TdQ6VAejvrn8vk/3YRvSwzqKXPcV
okIPb7LuJkw9yn4KLYp3Zj4FkRaVgOoGj/YTwoHpeah6dV/Chwz1IZNXPvSzlwcgVIlgRAhnH310
oGXZBEVsDu1kwK1/yAxMPHG+d6L70hEKvqaSGTek1zXJo4INJFc+Kr5zl9/CqZhctylDmfyp1AuG
dvwaFstl7KRDceEYqt2HFsv45D7V+l57gp6KBClmXPYcAem+10qSKI+WPuIy2aWld+tVXZXf2IlB
jjkzvX7G1BuhaVhoCy4smL1PqT/gOo3Bt1J5cjMxa9X3Bl5iTjBSdzd7U0mVH5WRAWxXakNJOlVm
Cf82EsDb2qggtS5z18Q0PuFXIBBF82dpJXfxWOA0mxOwQi8SN/GNvjgt5G7DHb/3XZ98lQVO1SFr
h4BSkRN1cFsZAzbtchzUP7Gd5PnnMTLzfUNr0Pj2TEns6oVZ72bXM+8dzOm9DcC2eoVDd1qZwbFB
mUSmvQdR4rhaGuYOCGsw+cZJAbmvTNq2QrSsb11U28u/7EevdHiicS06Kk4RuGwYGR0u8NFbPHVQ
ozEEzW5MMpzqRleZGeDgHjbKhNElmvqkfNSUuKH5jvHZQes4Lc4vrZWNuq/svk3eWIXMLC7f2pkD
h/khEi1KRrDrYxwZpiJq/Vbvwn5JlXcic6sAfULzcxzarxjFLMHly52pUR3GauZKdAO1xmrl8E0M
TaT2XbXiS7GBFNlHMclajUb8MqGvD0W/dVYbxtuo6+oy8DgKJLktosCbciRdJoRzJoZNOQyQYsVo
o0WvMWl9Yy9th+chmqJnLG1xfL9826drBTNI1AR8lFAa2KgO7xqvs9GGGJUzZ4gYGGUdyfa9HMe7
usUc4b9fjEuxH5ExyVD1eHrScqzEs75gE6Q1zq23ENbqOqW4i5mrXbnU6c7H8Ub9u259IH72UUVX
FZEFtlgt4aJWY6i7tfihgEJvzcKOaxwyS3EzUmFuOS7jDRY97bUxxmkdC1APV2qdvNMgueuf/9MH
OGSvMiH3lhAbYNSIY+S8TR4peT7JRU6owNEdoIBb4pr6+ePrPvgijZXth8k4HEMOnWMnxQSjoyFq
MMCQE/Ky2z4mko6YnDx/sMqJ2KhE4ly901GijX46Uv4Q3lRlb9bqar5Ti9H9w3w3ea5zaritlTMX
5mxXyV/K+rqZ/EKmbe8PzjxDW4/YwBXE3IiRydXAESafifybl9KKNr0wYanjSWv9wnLa/SbkHPc4
ikbNcpuW6vTJ0QGINi6hiyjruLc/Nrj94E/R0A8+qGSc79vWST5fXvAnvwuvhzfD8BvtteMdL3iY
jwkZWukSrjBcjp9NWe9l12rY/4695vjdqMRbd1CuqnPPXRh6Nlm2JvQPTsPDBTFXVkSnbKrhpI8J
CRCRLnFaRrkCp7638s91YmfxpgKpb8PLj3zyjfPIIF6QIZmXkj2y/vk/SzGPEX8neUuPVxQcba41
oQbMtO3iAjpdvtTJZ8cMB9olGWErUkixf3gpBKHQkCrJ222rcjtn/fglkcyf/diexjCRo30/mzQB
s4eGxEuieHf5+h+2TEerH7YrpnUYHgHNHI8U0lSlf4prLbSAoHBzdsaCzLFqHeVHWuWSbFIpVaCQ
GHhTpMRmbcyxAivFaSZLbtjbWYs0Deq0H6IY3Roxc3MAnq5nYcJhNhAHVpivCrfvBjOua6RaOVm0
LR1NqEGnCn0OXTHqpPt1on5a9Nn6TgzVGp9XY63RxG4M3UKW7ZVF/TGyO35sE1KHupJedZC+o/c+
arXRR5YWem4/1reqomm/W3OuxF2hmdErRlMi3kaWs/wcCCfDOyk2wEY81ZnqUDazsytbHPpXKddy
M1EGRhtZ4TJ95Ug+8wmsVFV1NQ11yDs8Kkd7Erqj2VhBebxc0UykyKUxoHHd6QEQ1B53jqYgKPYa
iCFXLn1aqPC5YzkOJZhaxbTVo5U5Tk7FtkgWiTaSd0DaW+p+RlEtPtuxqmHHTXT4N9cEJIeQ4zxK
a/WiJoEufjcRH20Q2aZXPpVTpIg7ghgJMIwbIUv1aENwjVhkrspSNZjcfRLVMO+JAcr0AMd174b+
TNx2nM7BUtX5izcsOilBmXn1xZzZHZDO89HQK7M5HbN69SIaZ5kP2CY4moRSSMLWFBDbUjD4xQqi
DhheR79qB6OPjWkRBjJU0sJntYP36avI/oSvREn3zIaG64LRoNveoBmXz5e/7JNyDh8PF4dLAysF
1zlB0fXeTt1SOGao4Yv5SGwde6WTaZ/6Zqk+F0Vd/PzP18PT0KGGoCyiojv6otC+97AoUXW6DTmi
m9hso7tMUfJ3Jx7wRncqoKQra3StSQ4/YjxXQIfWHwPv2ePNcySMJIknUlllr5EJ1nqYF5ABinOc
MaORIGiEyV8WLcRzDMtyBZ85sxw5lvDbAkBGhWgfT+HRJE/ox12TeARQXBl7ZLClai21uzZL0ogA
45nEWheVtDaa9S1ZRmpyZ0JS/fafXzydMq8A3zoEMsfTg4boKctNLTOsewSTHUL4Hy2Nc0FZQWjS
Zkpxn77yKZ5+AojhQRKYk2C99f84O69dt3kuTF+RAPVyKtny7un1REj71HujdPXzcM8AE8uGhfzI
SYAAoUmxrPKWy9B99WbDRCf4KGh1PVDAG6tDXXTKY2enZr6TMl3ZyBQ2LakJKREPr5zXv1/jWqcn
L0oGc0eq0X2tIBxYxM9LWv4GC9LsgPa3wzkspqy68R67ugXo4/xl8BzgtmPaxmFmGcp7D63HB/gg
C16Kc2Q9JADa9rbx9pZ/HRGlOhgJMtpAivYs3EDihLvcwr9W0aP6OYnSHDWCtn6nou4CNV2vsbsb
d5Gjr/fU36dHDms76K1wwRPmaJthJx0de5HFLm7SOH0QwnpNWIhWfNVG8G9+4w3Gb2ybFMSqmpqK
DIJ+2oNH83fweyT/JRVGU9+i+ZFi+mL3hkoru87vKx1ddlR4BQl8ZVgNZmJL/L5NjOqDDSoA6U01
H3/PSB7OIaZ1kkeKzfOPIVXHL6XAr9JXrdV2CLXtEcU5pYeOvgwpdJCa2PsF2nb7Z8VQAtOYMXEw
08wL9QH/4fFBr1rYZ1ipJN+TFBgBLdNmWny1r50m8JaZynytdEQwbh9n0g4PU6x2teBf4GY3/YiB
83eyTR7j5EjQw38F6P0Pu2TEHnIlsg7Q/zfCpR5wkknMof6TJx2AlYzbvPW7CEX6Y46XE3/vlMg8
AFFS3nq0e5MjbibZE+56MU5gaTXceyrBwjHLTQ+hJcXIfpEdoJdRsdEiYDt29ykiAK2PUasjSKpZ
i4Yn3NxRrJtHI39W1BRiB+TfBCZvgYW3n/YlQMJe6zA4WHqlX19Q+snWYNTbiRQBe2ckVKlPPnX8
27uojNGQ9fRJibEXq0gikjJtF/Kr1kAEBkhCONXN9MfuXWJCFBP7r/g653+GqSZ1Id11gbLhRfdV
L7sFmdN5aR+hVmL0CUIFcxM705L/uDnxmcuE3ejBOApvAVgeoRu3YCHWoE4SoXyUAR/44oyqFt9l
GPjeRbqDwdyiAWDziXkawKMIXqEyZ6LfGlh1PUhTl1wsPl3Z5IF+SIzjLOYmkEvxfrY+8zIbQDxk
RwbCr6gQKY49MOOZPg7xvTFqKHfPntJhgVhNApNJADu/VzWCnT7Dajf9CkOd5xHENpph4/pfFkXW
bxdoSIHnhUmdDVq9OHAzTskTpdv8e2blnFytnO0lGPMktX0dnYxf9YJEKAyFyXlqay/7ycJBPrYU
xA92HsHtXcwxRi9XdmJk84pG5vntYfaQX3TkxULVqJuT21O2dJHABHCsim+3X5prQ4G5pg0j+xKI
a54PZS3YJymFmoQRENuMKKbE4CPq049Wl+/cwlfuRBofCHhC65F1gU004VKNXu0CH2+DPql2VOI8
ekNPFX8125mG05TlGUUwe69JfeXyhzNM4ES4Dap4G3Cjl6FQHE6TcJji6qjGq3aHqo3xQurZv+hR
Yu19vQuFbT4fAt4OwvOMappbNouDwnGFp2gEik53+p/jKoZvqSqaDlEBJfMe3TZO7kqjQuerg2X+
dZhwEPNVDYmAYGijqPjs9DaQqZLq8EteQWK7s1BYaJHzgI990OMeL9x+0LRPmlfqQ9DTsPiV0tKt
w6rBI9lfYgMjZlBlluFHKcqi/lLl+GtEpTr56OEubyhCmRhxRDi6he5iqU9J3kxSiKEwB1+BHaKA
rCor6XLBrihxKsb12wEjw1FXNTswssL4NCo6uQI01vGLnS/43dWt4igHmhUNHQl1Ggb6DHGuHwvk
mlv8Qpvmw2gt63gSSBOtITxffKI0LKp/NrWDjp8odG7kbMmwr6cvlvYYVLXaTNRX4biSxahEdDlo
GT/vExzEm1qvXiItFtNBreheScG9Fff3GMzMicPp/e48bE/81aLWGqyxh5culivPuOSo493tc6Rf
7m4iR3jp3IAkocTn5wfJaS28iNQpD1cjwXh5qWbkyF1bQf3bQgehwM836BDdDsek1u77FSNxb8yj
OShqjPjIqWd1ZQHT4U9VGdLVqpkRtybjKod0+WBEpvPoud1C9o0Xz0Es2Bd5mMYFqNvgkmWb4gVp
uWo5IGb9n1DqcSdiu2g1OTQR2dfcRhC0CNDN8/mNspOazV4ZoiIiQOwtmF0jaTtRxknxbvLohkWU
N6jGNf+pIhYJYfpS/oKBFjsHE2f3t5idokawNLV7h5EqQPkEzyXbX6YKvaPbX+PKx7CBfwACkdSF
CzSMhV9xakRNE4JE0IK6hTGQAlD/MRbYWiTmVyapftwZ8vKeIbJEcw6pFgrglH/OF6h20VEZm64J
VSxWXd+oo/pO5K1aH5usp2jYJRr2ZTo1sPKIzyiWGZZSiuVQ6UNvBf2it52PNDk2SWOFl7s9D3b0
xm4n+zRHgoiN452BTnYK91MKY6E82EJrcVJDy6U/uABj36YQVoZnY/FW+qmi7g49mkzr+7FOjPSN
nhgLlEPTAbuO99u7vFSwkOKZzFFlMuM/8RhbXywwgrgp655YHnK9aH6sswrcOIkHOoX4aNFgwim4
0A5uFlcvqSKGn+U6xWxqaKnoi2Ta8BEKrInTBkv83i5k/dTT8rK/pxjmfCH/mKcHC6QlYjngQL6N
80Q5Hzet9NnD/JY16cvqvy5JVBpavJEIb8dLdehbzjft2kg5oWmnKgBVcUU+1E4x1kHRgjIMCCym
r43QxHxIjHzs7rXOHhPoOQVaM3HrFZ+GFemeEz7MSusPGnfhTrn9ctNB2ELtzzbQ26Xnsnm1E6Tp
7XVyi9C0J+c0DwaKJ0N1aFqLNobTlY+Dkww7x/Ly+fYgNUtpc03+2cK+Imy6S1aiC8ENdxk2mJb1
qXIKEAwNmertHf4KOznPLtjhNC9A79BbIy093+FduRruMHlZaGR6khzyWDdIaFSz9yMbUX9nEq2D
PM9U3Fk41erIw9jWpxqcbXXSE1sYCFu3+vehwE3iaTIwrH0R8nMDDSOrkCZ0tfUMATVHAVstCa2M
BcFkX8/Lcg65sjHxttWoqt94Uzw848OwzIeCRpPnA9FSlIMaK86foSuUt6XX2b8Nu0T28vYSXDnj
DqES4QT8DMfdFtAE9FGnMpc8tDDJfFhW1OTQUgV0p9reiZpmvJOUyztjs+JUxgCowI2AjrEtaU5z
0U1T0+ahXiaJhpSSVvXPGHetp9vzutxGGDSQ+sNop5VJefL8y1paPCN7b2FyiGTTc+Z0NaKlXf9m
6fRl55RcGYoOuCFhKfSk4NacDwV+ltqkJYqwByl6ovoIrL633bfUn5QdMssr0XWzfBxHWcCi0UHT
fRNxRnoMExZ34BD/QasMFTJ/nLpBgd7F4Ay8l3kS7p9I66P70RqX32IkOBjHAYw/ZvM2OWSBrGqQ
qdai+vlqZ3deg1r1C2aoa3xQrcF46+XFSFw2Ar87sHG65GEY2g4FBEWL77kHrP8m3RuhDmoYRx8o
Z42fWwvDWfDsK02lhUb4EKhW331a6t6wYZdRBH6KenvXjeNy69qco9dmMAhRGo/n694qNRjfZmAV
VEVUwTR7o/cB1zvlUSk68n/FneY9yvNrveH8A0h8CvcSLUgAKluxIOw8NLWf5yrMcH7z/H6w9FOf
9dZjOSrqA4xs665M6wr5ehuDXyVelqBzU8zujMrCFVorfAtd0eeuWvURgV8pUe6VBWhsTR0rH1GU
eOeOu3aHoy2EcAb6NEhYbFaJe4vADdifhJ2pIcKtwKJ68JXWoOdBh2znqRBmt3PKZWh4vkrQK6Eg
AQlzuVi3moUmDELkhPo6XNfGO5L8Hb26CGHxW8dpKb2XGiU9bGMN9ds/nnq6wjwZmCpYGinQVuMB
n6w2b5BuCrvF/UTJIUt818zNcJmM9v3toS7WlaHo/1qOjWI5l+HmJCqugDSG/2Q4F9ryVHVOfSyM
yAkpMpU/QQNQtXFwLr896EU5F4wXonO0wXQ0LDyis/M9b3J3ul1fN+GAMuiHJCp7C0cSOIJN386n
0tKkCk8y8O/c7A80RKsQZTV35xq69jMsglCMNECdEUVvWj5lMTVIFeA1nmSp8ivTJjcAhWEfFwvO
F7Wz2Xw060wxIBW6hT+qYKMWt2p2Lt6LC4CyrkVUAhDQJVHZYsUWWlLqaq1jiIXz8jx23npg8dx7
/J9nlV+Br9XOa3mxr9nTJPBSz4Gnix1+vvzaBEcmStM+jDByuit0Cp5QZ7JTGYv12fJKvFVG9K3p
IBY7khsXjwwja/R6Af8QiINFPh95Gg2zW5HRClN7zDG4Y+yH2iLCJVLJop1pXu5tBoOxzQFiw1Hu
PR+Mg6ssUIr70O0N4weoA+2u79UaXyV9PniQNO+xstyTYL46Q2Cd6OABuSEkOx+0mwwa+LhlhS5Z
1EHVYei3DZJWRZMPO9fTtaF4NzyaOZQdQe2eD1XlKEPGuteHhprY/jhOP9Dlm76YvRP/Y3/LoeGD
tJwUsnaIsrZKKZBSirKZdaK9RHEellkM7+DC/0yyxB2A7JF93L4gLjcoaCX5PHHtGkiYbm4lKMMK
tM6Bvo4yF7+cKE8CZ41c23ct+tO+Lkqjg6fWISiPYfWH24Nfnke4vdDgVKITKWq3CYSSrPcG4IfE
klrhnhKOPQbjonxQuCnewpL8H4bj1GuwayUUbAuJoWjRiUnD+RBnW/MZT/HFF9jlIq/o5N9m9AaO
t6d3eSoo3fEZgcW9xpabXSNDrylpbKbXw7qxR1s8qNUI6H4cG1/rNeWxEsYeuEp+sLOXFNU8MhQJ
bQGnANHofKuWxAUCECKP57jYYVyK0l9mBR5th8cYKTHOtiMt3N6siye7meKdOV+eFIZnM9G+lBJz
W4e1xlk8tzH7AsiQnr9RGhfJEDbYwaO5snObX1teJE3IxmzqaYDtzmcad44+kzwX4Sy06anKSZSi
okRtNSndn2gozUArd8WVLwAEQPqALJDc0hCma78FdAERclZltYrQjuf6HS7Mtjhhj0EVfHX0e2s1
xGFA0ZTGhimK57TIRr8pPeunq8dWsKJj/uP2Jrs8wMDbqLhIJTkYBdIn8m9UDyivuBrRBg29Uq3f
VgtU1NEgWAfrjkSV2ydHpzeUg1d37j9/ahYeIUwNBgNb3Nts74Qswl1wAwnVJs8/Tz1lFUuvx/s0
dfdMgy5A/I4HjwdqBkkM9WT21fksrQHXPjI/B+spx7sjU3Fe6Cmtb6WI910xWUbnZ/XohnNmQBmx
IkhPuVZ8Lip1D2NzcWfxS9gD+N5S5VKxmjv/JYgDOU1pTQ7QcaBCtS4+0oZP3y14vdNlMa2dZ/zi
83rQ2SRLEaAMQeMWHVJklTHHhi3whxPte3AkT7UH+kDp2+YRoYLorVmP3c/R0ZW72/vqcp4gjql1
4NaLCBo8gfN5sthYJWWrGrZjbdH7J0UxEXt+4+Txj7zS93Cz14bTgFgQsnB9ccTOh0vRgtXrrNHC
AW05DMML/YRFB+2qmUrrNDbKr9vTu4xI6TxAJ+YlQCodiNjmnky9Sl1sNCZDlUrJW0ymszdjbKen
OiEexrZ+av3Is8lgs7z8imk7BuOqiYbf7Z9xQcSQTlAmGAcAJjIL2V7XcaNYJZ6MatjjM1h96tGH
tl/UJtO+whEBIefNVjIfqGcNJjLNlRtizrQ0TzQIcYjEaGH9rDsc+mMbGRrWxa06WwH2MW3iqwv0
G7+vWnsIKpR7S1ShI9ymqhjiFi4MGbrwtydzuVdp5kheE4tKprEVz0QWZiisftbCGsT5ArbKcT4t
4NDe5Iod3dFjy44psluHwhZ7sBV5/v9+9bAYgYNOjE37DvDMloU4gCQYMaxag3w29CCuXfsha6b6
H9t3chQpKccXAyt18bEEOgVml6hrUGn6+itz0u+VsIuXIfWUZxpDNHGTbk8O6OLB+b+D0nKAGQWn
YKttP7smfITJXIOYOL6lZzgZ3+rIbQ/CjPWPWoecWtHAhwyArqUf6sFz/dVbqhfce7tTl07tzsWw
fXZffw/BE5E3by7KUecnNR/tPLG8VA0oZ3PPOq8OuazXAn7Cpd5fte4pq5p+56S8Fvo2n5hSOSLw
RKvksq/CDn8BZqwy6uoqGtZASYXqR0bpnRRPKz4as5f9ylqgHFmD1EE/qeIE77f66LStex/VHG5n
Ku+a1VWe0P9zAtOpyjvEFEGOlUPxVcR4a8SFm+w8j9qVPQmkjwPOrczrvHUNy+peIAGviqAzB+fJ
Nl6xS2L4EwGwuu+UGNKJ3TlgQgtPRachmcPOzO0Dbq7O0dEz5SMgT2KaIdsrCl5wFPiEdK9eaXHc
PNyB55+wKhfwJxOyr6SOLj4ny+R9ntfafajTSFEPyLFquCoqIyU+E6kXxS8bdbwXlCdpfpKmY7ik
KuobBb3Bz42dGm8p2aWT37nuQEKLG8Of2xfL9nGQv5fTTaJHBk34vrmr626dDbvPl6BFPf/dOlhr
iOWA4Q8wzrB5mJXg9ngXj8PrgNC00AeQNIWtddhc2ERrBdCRNE+dz7z4yjsQqfFzXEzjzzZWTR/o
VnYCxpIeF8Xpw3W0m50fsY2k5W8g4ZQwJhlqbCk1Q24uZa/zkRIqhkmVAHKJNO+jnevetHe2ZNCy
OVsysKIEJp8h2ALnG6IjeYYDzfVprGMWqMPgBvqUGC9LlkxfMTHCXKHOnXsOnX4qAQb7uRBL6zdG
NL+7vfRXPrUUP5McOWB4F3HA5KFBWcctpxxxIjQq3NLHNye7F4OZHJVuNXaSiFfO2XbqGo0FUm1I
EqAWzqeuoCwWMd6Kf0bU3uszoO8XC+Vv2m7wQkff7SPwh4XSE+KP1ZjZQQy+/sdowSr0TWkNeMyN
rEN4JFKWn1OmoI9SjQmio+Okog3bjkSsgIvM7juu2Oa7uBAl+yVuhnvLHqx553a+tn5ACtm3FDS5
njdxFPTVHptJwetb6vIzIY9lDgMaps4rkgcE1e3vdeU1gEEMoAVuI0HUNkxE0z+Ls7peMNZrRaAV
SX5UhIONRtuWB71Svo1xlu3M8eJkUIIhIrUBGRCAo2J1/snaNQYyhm4PjoKm+4jZJIxAN4+RmNGb
nUv8YnpyKFkctuigkPLJkOevR6eN13mNFJeh9F55wthjRqm8WnCItWyk12r7uNb9sLOmV+dHPgUm
nAcP7tD5oBHe0aaR45VGQ7n9AZIkOfSdim5uPO3Jzl4bCvk8CUQFjM9nPB+qy9j/As0sMOUwbwyx
hsmYWO8gx2Q7B+3yOWQpkZFD0V9WemgRnw/V4P2DsC50zjKK1gdKIlRfPNb2kK9p9NGI8ipAGaX5
bk/l9CbRFnBt/Kagsks0U6LBsX4N7WSGOWotOzftxZnBnB2yFIBrqgi82JuIptPbGYhqXlNDNLwP
pH7iCJ1XBjgwwybUj3aK8lcWHZixa+MZZNIG3HKPJuyZ7BQrUbRBHAeVIA1ICD49Qbx6e9/32tTY
t6/T45RuL/Y8zRbwCxyVaMTPV8tAdPZx0gRD3WMzv2h7L+e1qZGlS0EQ0+EG2tym0MnywoJjcUiy
XHyB+1rjVRKJ96Pj7pV/t4UungcL4RXmBBWAlu0mEXfpp6vmutYHFG+QSZ2ztkSRXBg/OS/GU49R
ywvKVpMStoqVHdV8GHZ2tDz7Zy8HP4BpcuvR2gNns7kb6kGNnKjCGN12WvEMEkt5U3Vleyc9PF/W
RaQPM3pvCe06UYa3b93LCE6OLdFWsreAzsjm3JLR1oNmw2Wds6Guj7Y5ZtMJbgnW2eVkRHetSgb2
QD2CxmuC9pNzisxyxm8ZcK75X75WbQjJxsme27UwP7ULBVq/X1Hkj9FiROAUetDOpX3lJj37xZvP
FZeVEndk+Ad8Z/oPvEbTPfy3DDasCXYH/ekPk1m2O+t0bVDaTRw0Egc2pTwef13fvFzDjFV3DUQo
c14gbzgfl65DlEvLi0/NXKyPtTman3Y+joyWthuDbUnbl3sVSs/mPkHggYKgUtaHpMWR/VvqodRK
eBBH1WldNeiVUQb88tB0k3lfJH3+vV+tIT3Cexfi7dpFSGG5sNY+3P5Z17Yra0CIQ97Pydx8gLrI
wJ4mxDXTXDohfn7i6E6ID+q5ob/LcUMHw96aZeg2RbPzGeQybxcE8ILUdJSaRNbm6teyVDWLpWiw
DDMG1AxV5GbAP1qfXYrgWMG2P25P9cpnl/bpfHQXiZULLEeLw1eRgI8+9HmLnMYKWmudMvCPxage
uQ6SX+gy7tkFXLn6aGQg9UP1QYqNbK6+2V5Xs40YNKvd/oiSsxrmC9p0ZdHuSZTK/2qznjavqYwO
oAjx53xbzw4D1VHMes6kA+HoWlVyj97KrnaK/DDbgQjHSblpSoEF2AzUIA8TuTN92MiQALN1yezT
NEb909z1M7o1Qjm1SpMHUUIL1Z+rcXi2xSj5/3Fp+9QmEn/W9Ozdv39eHhlZ7yF0ofx8Pv1s8ZDU
GzVkDaEBvIz6kAcKaIa7qov698DrDPL8eudQX1tyXn5IZbKxwtN2PiYE6UKv1JSsYO6rQxEX9rOj
JO1OBe1iFFA6+E3QYaQiySCbURZ7zOAnem6wzuDsUZfSDjW54en2+l0cR0bhCpAy/JgkUNA6n4vT
6L2uTo4b1JilA7eevBMtSftZdas2aNN5Fxh8bVqStcdOAosKCOh8wJXegKMLnQF1BYaNUiTOL4Ae
Ij72eLymhwZthjcAg7AjtdYGQWU9RqwrgR2hBwZmJtqxcNz0lNV6ZxwVTGMDu+BCCa10TKpQeG66
+K2BurS/NGry5HljYR2LehydIOvUqTjiXdp7vhI7zZ7yxcVVw1qShyDUAUtBM7f1eQOV/KpqSjdw
LQVamg5yFfUcyIjHamn0k4bMZGhY/6x1h2qUQeBBbYCmD3eVXPG/HjaV7taCsKUb8HQjZNQKG8ex
oTLWA6gt7yD6xfNtuM87F/m1D0m5CFUzg+60tb14yoWqUWYxrCktxu7czMFgAuP5eE/4+uIyZX6I
dVDsw/uLVvjmCW0U0uhWKb2A4A+M9eQ5h662qjunj6udk33tNNBakU7OXHOs6vlSznZtoHy7gMLX
neG9NuOaVo9FjRpEqt4PLdJUt0/flanBaoSKRzmXq2SbvXbJOEETKyFfVTnVv7Hq66cBeWINb6u6
+3l7sCvbk7uEBXzdot5WamOGqpNmeR0h96j1z5qx/LcaM1wne3TuKroMTwlA0X+/XqRaOTae4GzI
qbaXGPpl5BmWF9TuBLNN4OKeAxMNFIw1f66TvovLv4i3aEACIaAhS/9B0jfPv6CwcvwzKMMGK/pO
QMXLEpsKUuV2LEl8cmTq40JJjkNHhV50TguXd/VO9txNdygV7il+XNlPKMfxefk5XOJbWAryQlE9
6kkkcRTjqZyIq+ZhmL+XifOVsDrdOZIXYR2Tl5GVC+1Ch9cpt9tfN4GDQ0exJtytShVZ+oPtEOjm
3jw9ZZB7f67mqt61veFiKqKNxs7Y13YXTEgTL1gZjWxDSpOrZpgcCCxZhJ+xhTzyU5tCl6vKrv8w
ltn8HtdfYfq39/SrhM5ZVMKUoXayw4Af0/reXH69LmYMzIooqLrYWh5RjcnHbwDqEcEea0X0dQDJ
dUFewPWKdy6mflMwT9rwq/e6FTJKAzH0kCKiGx9cRzon6iJy30eRPsNpbupJe6Q42YgAtxSvPLCq
0PDaSCT6z7VUk4/ZhOEEJT4bFWi1VtPsqwtD9NjYNRK9lBjzjoZ0xlZTybSV+7hTOuMRMbLprkrV
eva7viw/2ZGFNvdiuFGx06O67BexOoS8Ul6PIJ9n6XxDLGqU9nUmkJTqFht1DWQU/7Ojunxowbse
en0tv6NAg/I4PKf7uQefkDXe/KFQbKvyi3hp9rw8rhwI2vdQqgk30B+5gN2MLgIgvdCDNKrGL2s7
2/JtzKbHDMVhqX0cxzsFlovSACWm/4f0JUaEfHy+BC3qUzVdIT0YRG8G42qLAJC1dlpKUI/+pAyU
e7OmhUZJUNJRZ0uhvt7epFd/AvUd1BK4Aimtnf+EHM3nbopbPShZlbvGiBeGxHXHO6IVPb4USmm/
RUhrCKhMx+D8vRqfgds/4fKhAV6ORAYHkMYhqIXzn1DjlkLftzGCOqvXp9lsSx+3igKa57je3x7q
8hMDLqcEzCCYs114F+iJPpKC0IMsstkOMKBdQmfMfmZulh51LftXtSquVlVqxSOhwxNK3f58Zil8
jyIlLwpsi6qdK6bk1LhF/VlNqn/O6hgKWIL0Z6SQgJng+VDLpHdx3dg6VjOOl/uiTsef41jZTkjn
CJLP7XW83DWMhjIKGhw8HDSbN6M5S6rNZWIQTebuo5vjPOzDXFpSP8809bSmidcfhlyB16vlTf1T
L2Zl7/26jPEk+Bttc2ihHqKxm/vD60xnjM0ZKG7TqY9rsRof2DXjzkyv7Rhp3wckGBaEpW/ORzyX
Nfc25D0WP/1drrF9yA0ox16pOe+NxtKPt1f2AkEk94zUQDBk/xAeyWZAtWvRt0pLGDiN59ahJvTx
OIy9+2Ch0v4WZAGUqsLOy6Atp/ZLRAMCaYQq+hYXrf729m+5djBhEKKyAjqXJG+zfftlmFoxQ8oa
7ATvxLpM7tLBVk/SG2Fnma8MpaH4ROYOn5r13qR6YjEMxYHHEUSZVrwxM/cDKXP01Mfi4+05XUgP
sb7MhIIkeSWM7a1eBzZsWCFlnRk4oqveU/9qPkZEQg0+lBFmtoXSGG8EvHT9mLdxL3yRdg624j3U
Hz+xewyVEqcaj/HY1rZv2VBkA62FWP/vl6J0QiVepEqNHOVm7VEuVvtiAmhOw7PFR7wy6xC5iHJG
7EGvDzuLIs/KeaQitxuJA1AJTHwuKhUWMiZDPxpBiX+IYaEqNiKvBHfLbt+5+WLCacji7tvaLtmX
uK2NOChdGoUUkvIxUM25jndip8vOtuR02ERPLmh0tEA386ev1Klll6lY3SXFEc0D4/eIG0aIkZHy
C902gbqzWeLfgK9giilFpYbLOvQ7C3PlngNrz9VN4A4UYSuSmFSrFIyMUQhqIiQ4VPoQsdn0nwXp
5T1CR1nrx56Ssm1QTPxG27TcabFd264yRAJZB4gTKvgmREjR41Qip6TJUxXzg2oO2WORqd0nC1/i
B8qVWGCVog6SdiUqLJRY/z6pan1XiHQ6VV1ffACNU3+fa7V4sGor+3N741y5g1GyZ5tSFyFT3IIM
jUEfZqsAY5M0WfSh7NL06A1DuVNturYZSLOR4aKShP/bdjMsblS3S4wfWNPqNvaYMyCGboB44cei
aeGZmuJjQy6nS2kI9U22Qo9DsjXeCVmvvAV0i2BHSQFRWbc9f/Vm25wcJ+1UgrQy+ajnafvF1NP0
M6Rm+1EAKd05BDLw2ZxK+BhSPIrXh+d288pq0gi5cfEKsdAeeFO5Tnwc56J80L25uR+MDmgVTcj7
25/06o6D/sXhA06J6I/8VX8lajOzaVZyqMDu4uaHbFI90IFYPoKWrk6VuxYplN4o+s9GlP5rKeWt
wN1LtxUydvXFjIW9+EOslsGau8M73k9skW7/xKvrQn2O6oQtMQRyV/71C+uVXhBviBasVZfc6z0K
nUYTJQ9wzJDug43dvnPMtdvZ69e+PjuQ3hRIbi7KTbyR5t4451WpBZNex7jBtkv6rueFWQ9D5iBU
qE8TGjK3Z3rtfIEUlJQOm6Tktb3210yV3lEbs120QF3M9YOXOG88IJZfbw9y5e0lHv7/g2yumLxK
3EbQmQqWDqrTAfbZijCfF1clspaD+F+WESArLm30QqlJnn+8aO0IASp8pdCMNcojGeI4HzkES2DO
bX2Y+mRPLV/+/u0xkhplDih/OFVb0o+ymppSNSmhcaqX982IHaLIeysccdC5x5LoN5WQ5qECh333
7wsLrwKaEXUPgAty4f/6et6QrbnTo2oAchcKpWHysObd9ALRbQ91eHWOHAbeKIJUaBznQ2XAGBSb
2z/ovVh037RSi+YnkWEHTeu3MtCxQgYqjA1spAJdE/G/ekETVRE8wDIAAgYce1uczOq0mBOXTFZH
rSqMF8QSOnWt3rZIpRxvr+olQIOxYI7gvoYsFy7mm2uxoblVY6ykB6ttC/FoT9ks3qC4NsdAJmcW
GYdxQMcVFQ7lORcmguVdX5HhFouugMQ3lJ+RuWjDyeqn/g0aA95eRnvtqkDLl54qHW/S+s1VEdm4
JMcIeAZ6DO2r0VIcPtakf8Jm6De0tH/GNrEgkoKFZI8qg6XNkRpGQCGWoLKFXDV8xNL4PGHAdheN
RXFy59Y5RGYy7Ozt1zd3e6pePSH4ECSd3maOlWOlxqRxNYFfbsYHF/zYi5HrVeW7uUgepK5iGiD+
ohWnZVqV0R/TSjEe5j6fK19JABP6JM9Jvbc75KHa/C5yU6CQJPnkZFuuFgABrWYPEpIoolZOamxp
QwgYuc2/knys9SlOSHcOQ2Os8ymJU+hqBPqZc0hEXfyn53rz1OrYC/qLDqTZVwUmPSDVtXhvH1+5
27kSeFAwWIGhs6WaDrpSkkX3atCbrUZpJ9LDonCX8PZpubIc/O9ol6IYgE371qCWvug44ceOHSdJ
xr2oV+tzOY7v1KxVTv86Encsm0G27fFw2r7KYkRKSgPGHChao53S2EW6g1L6j6LHjvF/GIomFt9S
jrh9FpMqjY3e6O2AkKM/VFpTHVLTyt4KaxE763cZazAr8HuyKwjMbatL0K6mA5sRczjepYFqhk2B
Pm4KN/TQn37SqsE9ighWz+0JXl4gshuicxdI/hZ33Pl1XuAqY+itgyVdClGURxjpFKFaJ3R5ypNT
Y2R3e7wrETaMURr0EsanyY7P+YAITc1jTrUnoJRgfmvbYviO+jIA/q5M7+O+iZ41lPmOWacbz5Fw
lo99vew9lxccEwnwo0wujXRkRXCb6yTYPs5oydlEWI3m5KhiSY2pOBMT0iwwsFtf0wfjIR4d8X2o
E/1NsUodLiuC7+Prmd3+p9a2+92qsmZAPXxuv6A9gCBmYoml9vtJEb+B2rde6BWm+8CO6YwHqCDK
p9uLKdfq/AZiGpRTWU2QrRdtay1ZzMFAJStwtHZWT3appS6ufXqdIiGNSx5IbCHCkcsrP+ajkdZB
TcHC3InjL68XagfUAqlzoLKMCsr5F+10u1cjAy6fnnUQHK2MaBXBjJ2Nenm9yOQY7rmEt1Gr2Iyy
YgzZKKtrBqqYtfp9OzWFcjCl73KzklPvPDpXR6MkRuolZVaszS7FeHTMY9szAw+b0e6BhtKcPa86
okWBY/foCd7+kNeGoyKFKAFyq1Ii7nwJUfCT5CvsPtYhdb/bblYdxyhJv9b6rvvDla8FokIaKEOp
5vLc1L/0FouNCCVnqYjo/tQQ3ftc9+M/56/wEjVWzmRj0I3f3CoghF1wjwyyqo1i4JtQ5yEVvgQi
juhW+75E+uH77SW8drGcjSkD179jYD1F43SqHLw04DoJFfMk1H5EOECKf0+ZM/6wLpoLlj+axSkT
ifo49WL+cvtXXPmQZz9is2+sqFvNaeFEAlxZjznesLiiNx0aV/Geovu1oZDNp60K6IH0dDMU6L6+
pMDoBjBNOh3tljV6UNaWC0oR616B4EqxGJgPpSEZ7MgkcbO6Dc3ExisaN9CUqTBOTVIYb02rX42T
p5VtfvBSHQlYe8jX+c7p5u5zvOTeinp4PN+DgY3KnYbWtdlTKGYXM1G6Spsdpkax2dG5dgI77+3f
cDPLHyTxYvIzQ5/3kuMrjyQHk+Y9uAGLOslmsInGfgX3gcEKxF6m1ahetJkAOMnVPtDdZdyhuF6b
HBZ5jEWGygu1WWwzTtNs0oDnaYujaAeECNzZ/z+cndeu3LYWhp9IgHq5lTRlb3vbsZ245EbIiW31
RnU9/fnoK49GGGEHQQqQIBxS5OLiWn/RUjWNws4d638e79mdBBvIDN1ICl48XQGZ3J4ctAgB0w+c
Vl7u/NWcpqEP2j4dUl8vCv1TuqaL6bNC+OXMeVpdRmFQiqlAThb9mHxQomkMH/+mvRXAspE8EqIB
vCz5RX47zKtlKXGCZG+gqObwVxmLMWhot8OktrTL46H2AiKCUCw1+9r0tswmF9X/tKAkGqTZJP7O
qLY/N6iTJQchXi7i5q6mHSDbsDwoAcFuFjlyFownK7AziUXJ38fzWP2OvfIs2z3UwYVSqn9nuHYf
XJsyCmyH5VahuAZAiVrI5mYxa2MpyQjcYGpMt0LnIWnPCRmmecbObo39ZbHL9aSrTfxnL+YCK+6p
d7SDH7GXb8mXIww7VxrcbB3k23WuBzSsvKCJMged7VGhmCUcML4+SDflY6KUZRrMthPjuwx2JUZz
1lqn0Er79E91WtcfS1HU38DGsoCDrWHmPKK9haS0pVMnc9UOwVZnyZqn2Els8xSPHtpQmQCj+fqj
aZG6StUc6WW57ZYoaWp0Ywvea54NLwQmgA11oa7f7azVjszB7j4djiSMBKiD1iep1e0Z6CZjrscI
phIdg/6tkyIcg+Rhwa2SVAeb8z7AMZRLZIPfjt7K9hWg9U7eLLFIQmsc2ktuS91l16gu+YL98Aj+
7fz4zN0fBqi7Mu+megoofAvRUXhTYXKUKUFlRvFJX1Fh11P1jyxW6xdzMn+6Q3aEibqPKNI5U9rR
8mZELkGGgd8iSrumFe9D2ioKKsrUkXMyAUpX74ym9169RxiKugA8evmy2uLZvHl0MTab6Z7WFhbu
zcBWXKXCiGvUBwu5Oys5EGsJwGMLrEcxaixtih7BakY1nRsXzepVEVdhKPnT4292v0fQivv1CIav
RJPEuF3AbIATmSW5Euh6gVZd5lnLKVWiBYCT875UzZ+Ph7vfIgwnNwftORcipn47XEzlbQFSHaG0
V0fIPKDBd21pQwGTHZ+XuCsPWtD3bGr4XniikbRS7IeEJJf6tw2iIpKM5BkoxDUnlvn0eJA37WO+
Lz5QwAMvK2gVAwZDCvopr9R+WP00qdH4w9PDG/y+t9RvLkqupHxqpv/InDp78TphtZjm4ffzjn7H
pF8QU8Psx1/rFkedx0u2kwLTouBBCHhANjS3jYOIBHegW6MEM9WRTzYmJZ/yOp39dsDdkJ83hrHn
1Fc7M551hJdf4hTV08e/4f6+kTwDNIy4THlebwFwyWJNJvUuQGWTjctlLfHuSaufM1HWvjnb1Td8
A3AkLNHeLjpoWI+H3+kpMT51LuZPsga8+vYrOolXTaBWEf/PXY1nMLyeIENu/7tuKFhJIPza+SX8
zG/JoomPibmmZ8rN43e8CgSYeWO4WInmnetiHKNT5mHN9/gH7m1rcMK0Bwjsko1x+/t+FQkz1VFo
MHruycyjnPeKlgSofw8XxCqWUOtKcTCo/J/eJgE09jTkx/ksHOFtO7FIO4H1ODrLvb1YX6Kmrrks
xRjqjdOHC7XKpyFNlyBTxuSgoboXn6T2Bdq3dNHurF1bqMTASwt0YTUNZYRMd0KvjNxnw6qOijo7
Kyu752TN6HbJ3Xe7skqip9VisrIi60kcnSlfEXlWDDPQtDkKMdbNQ1qER437nbVlVPJGiJwOf99s
uFYrUv7kKot1Z3HZ3T29YRUInTosanYq9CL+mU/rNL5L5upI8GlneRmc/JCDRvFgS1ZdkcCBXeoq
wYKxYhxY7gjiH2HI4ZJr4xEUa+cCAB+Aehd9H7qE22ut7hwtGoYyDr1icJCK0OvkY8yNvfhrMUfP
ZmdZXx8flr3pyVjGYZZ42m2vZ4Tp0daCO6D1JgA7SlF/LVUgxApuHF/+w1DSKIUbTmZcm3MpRD/E
HvCcQDF5TBemU16zLsXbY0b38z8MRV+StzulETo3txs16qYGiSwjCuI585A5NdF7LMu4Snwls4/M
Pve2J50hGw4woliIg90OBie+L/GYjQLTjMcBPq9d/o1vNi27ZlD8aRzczB9FMWk+AcU8kl7b+4Bc
qYg10RrQ2Tq3o+dGyweclCjQMYp7SewpD+oCJXOfCnB8sKy/ktRNlNOB00qUIbU0SEm3g2FKq1jj
mEaBhwpX8UbxYvFGtIr5ZKZ59sVotOrnGuVthw5Qa74DxGzp53Uei08in/FihtZV/2/AMSEiLsYz
2uykOFjS2Eb+Hmp2fpDf3GnnS0aw5DqT3ABKpsdw+3MhqSwJoibyOJXN7CPhDrdbiZr+lLWO+ZG8
Y9D8eE2a902rJku4oO14UgbEitOoG95VhSc+0AZbRZBh1XjCZnK9OlRaXo+BkBwC/gDxh5jQloEV
d2inVYulBANUJlZFnYwTNVozRJgQ5+h27Cy/6GC9PD4lO9EGGi8qbhx+FmhLYYjTcvLMDAgiDqTD
WQzKCGqfOzKa53e1Vb5W3Et+DYnupAqAEvLdC0hYC8Vlj0iK+fGzjvBUgN04+VJXTBdtVk+PJ7dT
TmM4ORCGIIy7vZHLVdW7ScVlMev79Cwo8p3gayRP3owFQmvkTYWZgjX8uY5F8yV2vOop6Ub7SYyr
c/BYuS9/SO1dcLzU8MEo3iHDkSAYkJlWAmPU12dpp4vcrdldH094Jy2k/EAMJ6/mkG6lDkiEOI6R
noQDFpHXfE3iP5Rs8tC1LJugBNp47jnq/tIjP5ZqRKbHw+/kBmh6kv7Iq4s+/iY0VIYyuMYCPAiP
Re0MttY7V5OGPJ1IzNBqLdV3US85yEV3gh80NJryv/B0TPv2gPfaLEWCeFS3WuScwLPmIW58zima
jmOfDBab2IemAdVZUJWclm0RS+iK7nESk1BbxZoGAFTsz2Y7zc/CVJOT7uXzW3NOV19ri+lbbWKZ
0MfpkWrEzoQpRSBMD7wflP+2Rpx2Xov6nx2H6Tppl74muaSiU/xvIGk7CvbytbmZsCnlOYDZgEdQ
t/LYKTZTDqiDhButqJ8aGtx/ClvpL1WaF9ex7NqvRd578o6t9Cfku72ndjZgoOh6/21o4VjPPUyZ
g222E7Og4UgshvxJVPluv7gAiGEamZmGipf+NDoQMEacuCe7HLNL7XXzQYjcW2/eOrxaqRVDa9kU
iNbWBKnZ6Bi/zBXX+IS3CeFZJoI8Uo9A8DtHyKQWCzqMgjQNpM1gFHs7JOIHBqs7lVfs7L1d7dUF
FGePF2DURu8Lo18PVnQHgkMFXMLiLZpxxKdNXuZMepGuiIOEa6Pql7E3nIsDVzeMrOiCw9F7kLu2
tAopnmISEL/B3/R9J0Yt7NB5e84MxC/HuIlOj+PJ3srzqIFwReOV9HRzd2d4tS5ubqRhrdbuOVvt
LwIoR9gNUXzwjXfyN2RDkIJnOAqOW51l6p3q6lgEkUQk3zLMNv7qMRL2Dafu3yZGP3w0EBj0PUcp
DuohO/cCrRVqcxCV+OzbwxzHVp/B4IrDeRS6nyMhe7WbpL+8eiHBwACfocgj+d2bhewTVAr7po3D
eqzWywQy7s3Uda0/q6lz8M12JwSOiI6CbEtuWwpLhGdKGVVQ3GItejGS2Hip6zX5DxNCjI9WOGUY
0LubCUFtSorWWuKwSscYwysxeO0pmzC271L1qHWxE284kvRJWEFaF9uM1xh7oEMpSQvldOutV45c
Zks1p37aeqMII8Xsvz3+Xnsjki5IO1xKc3c6C3k1l3plEOKXto4ubo88vLu6K3wFI36TaWV6cP73
xuPxh0iH/GKYI28iaqyuY+tYMZXvVgn7VjNPBKHeT9bE/SvvoMA/nt/OwaYKTiUVOUeaq6Z+O96K
HlDU1WYc2hMZbh5RirEXNI/wEzsiHuwO5eKqqpIE8nrf7JSqxSRxNKUXWNusYRrVInDK1PoQcTO9
PhNhk/wy7SVcQUW+nZWz9rYyVUYRDoa++nE0KFc1xk0iwazn9QUf6kwMJn1jAINshmrT1HOq1SzC
ZWq794Ze2s/Y5k5vs1V5PSNeNits3rZwFriYNldD2bqlsJM0D/WkQQAh71FxMltRtX4+jvPBEsrf
vck3JD9E+u9SBLmDgho8lFenzfMwt9T2M7Cb9k0XHyqm7ER7VM5gKEJOJ73ZbndAV7TJUpGHHfTU
y5K5mG+0KGJNq4u9Fmx4CqeL9j0RzmsNEXn/wFKUXDu57bWtD2PLl2y8bGIxbafB8cf9PkRp+Sci
ov1TPWfRwTb5lZBu1pNWK6VihuOdtwVnz/RDCkNrszAvBUmF3Udm7Q92NIVz5JUvPTXFq9JXzskQ
IyW9uup/VmWUXePKNNOgLlvjH9Oa0n8fH/+dr0whDxMnQBzU8raXnlbpnjDKOgvXdFQBSSrQX5L8
iGqz85XZQbTbgfgjk7HtIUYLydOA9wlfeXGNMFdUrDZ13iKY8a65fZknx36jDBPq4Wna2AchdSfu
UEojDvAioiK8zSigrCygN/IiLIol+1E5Svw2nlr7OXWrL49Xc2+e9PBBhFE2oIOziXD64IwVHxpw
SCXsZ54j+RN5gHqibm+cBoLwKU+L1ScBMK+PR965Nrh76eVoFFcAx8k1+K2XM3SJ2lgZc6Sxmv7s
Las7TYsx4l9std11KKcjdNreVKk6U8xhBvD/5b//bcA+WW14UaCv80Edz0bXd76ArxRCKUvOeda6
H6JxbXwdvewP/2GqkOk0klGgVls8Po+cFG0fFtlE18JHCnv6q3OXvxd1ni9u5TlPj4fb2z1UC2hL
U1iWPIfNRBfgSGY2o2gwWtXXWVhxoM1o46pJr/98PNTeR5RO4KQZMrvZ6pA2lVi8alWLUJ8qGw5c
pf1T9UX5x6jRxTXswjtAkN0ffmpqVGVgflHL5+66nVoqVtGNuYKHYrrmAe489btuXM1XI4pvR9lk
GNjW5VVdIKPQF5iA92YK3xVw7x/zRLfgtQtIiCHV5TLhQ/FMvp2QpoilS4pVQloT5xNCDH8rPKWu
EHusN0U16geBRb4Ab0M6w0nTFB5s4Je3hUJzsrQ2V+MqdKXZRs3jtPNzWHTv1Jkipdnjiexbk3yu
zfhK+o7I09ejmfkJHjUBgAWAPn81SH87hk2EbZCKpFEI+s7tUFs1mz+tuRueI8NTLgXKOq+Wd8Rm
R+p8yA4MdJTtjT1WZhJhsku7h47aKW9S7bK6iUcTyjzScLg/enIoAFpEbj6pI8/Lb5PrzEZQ1mlR
khzGnn4zLYsXqIFi8IvI8l4NPmEoHhY8ZFDr5tF0OxjQtN6NvakKRyVR3wmFWslcppWPiWt6kAvs
7RvpgAUWFU7JnTZdjhgjkkNSQwy3VLzdCv2Nna16mBmzd14WvTg1er9c3CQCcBDp0Y/Hp+Q+dHMJ
0MEDQ0F58l44yskTt3b1Mhzr0fONiUdUBTTlCb/7LIjMeXlizy+hupTjQen1PsAxMqUUciueG0CK
btcYS/rViRoZCnJ3eWdly8/C0scS0CSayninTKfHM5WPpe0BRa9BigJx9wP2ux0vK4BPxyrjqc76
fdJWc/DraqrezknvBCg5N/6Q9MkBFHhveSUM5pcbKfTqzaB1zAO46NMq9Ez6QF1ENoVyw4helpWD
6dDyS5566WdNGeLXV30dxA2kTjE6VrIIeztfe7THeZ2Jf223/jCUqnvXIV4eUv2DWeE46D6ir3n0
Yt0p7XMX02ynB8KWogx6O6pSuY09elYdUpJF46nylMIM0sI2/iZCxP0p7nFVf1KQHaVi5kS4EWHA
LYBKj1KptZv0I7CV3Eabzw4iBK81SaAGgLhZhooccMhUxAFXS2h+mzvrM9L8qG3pfXRwZe9OHklj
C9ssKnZ36HKriTvLxBoFD1Z7CpuszBs/QWCh8Z1WcJ9a6fi2npL1C2B4kjCeiuOHxYqHS2tm3qtL
Z1BapA0Qb1Hi87bnUIoZJpyBFHZrWuNHeGu5H0V98cXFkpp02y2fLDRSwqiPu/Pjg7YDxCGxly3P
X/6paOHd7gGiV6lEOQ/umFxMfWkTa3ox3cWz/FrkzJu0FR1gi7xQvFXsNPkcFZmYkGwxefE9/i07
0ZXer7ToYCWgTWy+/pwpCz7tcR6uWtc8D5PuXnOtnJ6repFYuMh4rvuxCFCIGP6aoTUfHP/7zScd
A6SKNNp89AU2wy+pqbXNiCDWinZ/oOPyF8yGkvjjoIiDJ/p9ePvFP6H/gekT2nXy3/9+PxZDM6e4
y2J8nnuQfrXm89jkS4gMe/mkYMTyBfyRWhzssp1vTWUFViScaV7Q/OPtsH0ttNmh94EFSq9fO2hA
YQ6B/QWa14Rcf+2FxWrrn6BiXJfJrd9oc1ce/Ia7b8zC2rK5xX0CQmNrmaMUXVf0hjYFi5aC9MpT
QKPoB9SFP6mj4viau1ofk3pJe0rlYq5OVEKLp8f77G71+Q30iH85IwGj2FJDJwXAgz7XGIkrwnxC
Smy6OGabnZJMcT5MQ4Eh83LoPn13g/4alO4oYglSqHDzGum0ro/HppkCU6kbNFKS4Ro15nDqlvKL
Ekfj5fEc76sWcjwp0APtEFzDNqOGzD0a6DRPCHaW3ue6sJtn4SXdc7OuS2igInXtPXt65gJ3/hBD
Fn3A39S6Dr03vK1n1fi7jfvFOvj4dxesrOyBdaNRLvOILW6RcJKj1ygm0KaKe67qRscxvuoDUxSz
X7rQ3WfLihAN6MyD5bg723Jk5CJ+lUvInTc738LI0xvo0wd94cWnVrQihGmfBYsjjmCFu5OUpVJp
syPHvD1kJX1aE7+8MXBsobxDwFH16zTTrqLMsI/1POUs9Fb4Kj3Xg+x0d2SGlM9rku6tYI1nr5Xi
NUzStUYYfmJutZcKKNf/Fh2Kb6254gO+lCiOIoVnHCThdy9SFlh+W5ACtFW5S25nPZpAX6moTkHU
9kP5VKeG8W9MgTU/uK92zq68GrD9gtgDUnATpNFfmKtuhmPhlk15WccEVGSKS+6naeqmS22U7Qdn
GXC8fHycdoclS5AvDZTEtlKcSMEbnpjzMSidcr1ExmRf9WrGmTVbUXfpliRQyvRIi3PneyIKiZ4w
aAAQUdtYCRibF52NAGKXiwwDZTGEeLcbfgt3C77BGH03nCl+6tfsSCp257hAMEEa95emC7Tx269J
j1ob4RYgiVup1ROyAPl715iKH1qj6QebdicuUlTlJoTXIts0m+OSL63Rk3eOAckYKjYjBkoYZjTd
22IwzJeqjsVfr/+UKO/CySbTlCjT27npeoxyTteOWFsm0C+ypXgqDA/RDbUSp1REaA7OafVaDhhF
jV9wA2pRxIZtNCYSuxqY/hEAVDKfI4Tpnqemi9/ABU8OTsjet6MTCn8HfVoaKJtSispy2tbICRFI
qF7STKgv7iTKIHWH6NvjpfxV/r3J1+W0IJrZlEzpV27Lw31n4dHgxGOwuE3+Ze5SFCUmbhMEKifU
832kGVNxXkxtsP1W8aJvXjzmHwvTiyYf65kBblqbQ1CJDH0Jkeks/jAUXUFXMhIGxOZBtb96q1O+
ZFUR/90i2o+wp9WAAKSSqx/xj3Z2IuIK0E1JQmGdbkNYodUT5V1vQuMHPDiwDe3irtwWUzZrb5Se
QuLB6sn35Gb1pBqz3A7yjG8BjzpSL23SkmYm1aSuPpVpAVvbdgvLz4poip/Xfsq/Oazheh2rsiw/
ZO1STCH1SwQ5BydK/3DHqPR8S69Q/khXxTPD1Ijncx03+MfOxTyjeGGhhezXQ7a+n6qpPKhE7i0a
YZGXOoeYcLyJ+/RDCzuJlDng/QQ7HW+5+LsYrBavydRLYh/Vj/RIk3TnrpGbm4o5TzdSdvmbfsue
tcFNxNRpc2A1S/Mh9rz/9XqtH+ztvUEwZ6U+LqUGKH3cDlJ2a6r1nU7GkBSDn1SmDT2myk+P98DO
vUINEpAZmAKgRVu019o0bqr2Cqrj2rhe+brjk7n2EBHUeLmuZe0FeeJ5r0+GDNopFOek/y6vgdup
ZebSe+VKGpYLUf0clzVZzxbh9s0S58UROHJvhiDZUMEB9UPyuymqqOPaGVlMwt80adECoDObDz16
dV8EipEwZjJxdkVsf3i8rjtXJ9VdcOZ0dhEa3WKusm7SphqCRzDXat8HcWWnH7IF1cgRu11Q74WV
v1XNPH0p+kk5+KY7AZiFhRAqbUsouG22J5C5VKs84ojs0Z0GsajxhQ5Et0q+oDId3Cx7+5QNKvn4
YOvvCBOV6s2AhpI5cKrK/sY313VfzeyjAuDepKSXLFwVoLXwuG/3zOp5rbBojAcYcy7YJzfdm3Fu
jGdUOVCCfPzx9saS4vEOHVdKjdtu+cwVDS8AiPFAySm0kpmcp9NU8TbLRfcfzoLUqOf2IuFxthof
FUqToAvxNRAa8uMR2yNY6Ls+L6qWHbx+dr4UrzHiN71UCYDcHLsBZgXypZwEQ0XBvGvM6E1eieZg
P+wEZOp5OH7AsJPgN/krfguOhln1RrnQkNXahL7C1GgOvTyrL31rTOr2eSls+yD3vy+l4bwHKJc0
Fb1DStObS4DKScvt5CKpvTSpcuJ0qz8gMZkvKD4tP/HmA+igZV0D3MGbSzWEal9e1FbpdL/tamSp
Xr1/5OMX8oeMrGSXt0uQlDGQpyojdFNF8bN5cejUD/VlQjnlYOo7W9XiocfEETSncLf5ptk06xll
jlFSTGy0s3r7r6HNDMhreXEw1E5IsyjSmfQZOewAIG5nZVN1G8RgjoGBvMhVHzWkhDRreqc4+vze
WnP16rY4H6QiNv549XrSMJbaIlgESuWP25HTnnWMDCZpWUvyLi4aQ/UR82oKXy2NV8sYUZfhVSM1
6bk1UDK8HWxwoC0PizMFldPlf+VZ5vmqYlhvQctmT4/ntXNUpAQeqStlGaBim6HM1rIbFUsDaJTK
9G7pNP1sSfxmxxYPDTEd1dt3rkLGc2TvCEFZMJm3U8s9vfMazUIbtxrGM3RNFHDG9i9bS4yrU3jz
U6Uemmjt7BriGt+OfAl+6hb+aSsqeqfpOASLZealH9Oy63xz8ex3OFjoa+Bh71SHcdPWf+puXh9Z
MO6cDwptgDg4JVAsHfnzfotGgxdpEOlY4tjKy3/Rcin/pajYvdhun/6HTIMuP4kGGTXU0u1L0haW
m8ZmwsMOO/KnwZit02rE4wuuPGj7EyxQzS+Wg6AuQ9smh78ZdLOHei3TkL/mBdTY1Rjkq7M8FWsM
5zjJHTzIs/SNYlffS16/QUXT/vW3F+1IOp/0kJGvuXvL5qrVJXJ0JIDMsJ605gwTX8EgvDpqFOx9
SWgXIKB4Nksm3+2XFGYcU0ZidedkXK5a1SRBAQ0EnU9bOz8+l/f0KKA4UnKL7jEo/btkAwehSvRo
FAbOaOPGJZrszaro2Rv2dx4TDgZUZV1vSP7Aqu2NlQ3XoSnt1i9NkcIiKKyLzNxJn1f7O24Ka8ar
e7D+SQb0Vx//0r0TDTFOcn4kq9LeXHzuvOo2QGrev0ulfHfmZNZ9r9Pqp6oe8KlL1UqKk2ifHo+6
8ylgLRCz+Bws0DaRALpd9XnGoQJ5jPGkW3QvJUXlsyPi9ct/GAqKkYQK0ZPZOiEYEwU/MaoDUtdC
+WhULP+YLyWBqx2Ng/7LTqjidgE8z1KSIm3f3/QL2rKyliFoXYSrFUNofsdp/3OoMgX1zKrBBtxp
fTFjt/d4ljuZGSOTl0mZHgqYm1tcXzoq3tY8BIVhK1fMTO3AMxLtYLPsfjZoYhKyKPm3cjP9Fgvb
hqfGarKrheWIz5MbK6fYbl3HNyfFOnj/7I6FDRNBl4YqBdPbsbzFMDsmTNhXOaNm7Jqh4vKYBa+3
hI8Xb3coWcxHWwPy9NZEq4tVWEmZy270FveK20COrmeunYkhr0YFgPIA90T5lZeIZPrdzspV4yJZ
6f4FXuNEp3R0vLBP9Bj1yn4Iel7KSI7XR9SVe/bjr1HBIoOAkL6Qm92xJrZaJpUxBCNi6+e1dPIT
SoTrOxeFuiuUB2c5N7XZnnM3M/BHrAtcLepofBupxXQ29Gy6jMqEWp8TD8mpAEARVv2yHInN7oQi
mYLL1hJ/4wDdrk0r3DiLC43T08Xj+yFdMi6F2nuGhpd9QpvRC21aitfH337n9qOdx9OJVI1zs4Vp
mGgUAGFim4lhHp8chHy/5dm6vKjrml3GocwtX4+G6G0moPAryaAfOYDvzZrjJIHiBmXN7a00Zz0F
nIT0xlBm91J07vxGxLzmYjMdwlbBjGPVleIADLMXLuQ+kNqQgJ+3kjBpr3d6TTU+GK3afYmVSfUH
KL2Xx2u7d65orlMXkiGDouTtB51NvUFRnKBktm13Qs6z+rctux9R1vYHT8ZftaxNEvNLfJoGh1Rn
2SLhh4g9AxFuCJoucn0EJ5X3TdV/te2+eqcrcUWT0tRDNVYWRF8rYPJq3YWKaM23FWybb/9h3hKb
J0tiEth1O+96nJIx1+U1YEX92eiV/42FOf5Jv6M+aD3sbB6uGgsVDkuC1LYGmTG1ZpHXSk9ATsXn
rhqUJxQ/OtNH1nx9n4ra+GBGmNC+/nkq0etU+zDBQQhnM8E184axXtshmCnEwXBvXX+2evv9XM6v
J5qTfCM2D1KUIjN6AZsEJUHvPyIO88QZVPPcNMn8F0IilCD0yR4kp9QJnbbqIn/qux6nLNQQzwCP
2idw39XFM+tl9t0qy8zTaA7ek5fScApjpVZOk9XO/2HLg2sj9ZOYdt7o8oP9dkM2hSaadPKwME4o
txZekoZFFmVv7VEc8ZF2TheEV+oWEml077w2K0s9KG3DwrRw1NK5if6XDE36xnZq52Cb7YQL+Zil
tYCEK7fx5vmM/4NSxgwXKICRL15nlyct6vU/Hx+bnccsmAYpNQyIXGo13K5du0y4ag7YP/eqvmQ+
lX7vbUE/41sz9+67TMnFz8cD3qVrwDgomEkhd1BDyGzfDphz25djb2MsGyeTX3WiP7tpbfp1oq0n
b9U8ECVoReeiLD4/HvluQaW/kvTTYVMD1dE326SdVctMnYRHZeYML1qkLJ/atD8ym7lbUPotpBoA
ktkmsvRxO78hgTpJrOyCLosxyetG8wom7J917cdrMvevfkownFThgopHOQmt3NvhgMV6NDyjjj5d
WRUBTezunOt9fM0MK/oYWZP+LJSsOci5746BHJX98gsA52Encjtq2Yyz3VlKF6wdXsRxXc5hXRpp
kOLs9tqwJ4eiiU2OAs7tLk/szRFRRjfrg4Fq2v+Seo6+z1mhvc+oAX15vEHkWt3cZ3IocnkKoTwi
uURvZ6VoycRS132g2LQarnbVxFpY6nGcUJu0hfs0xd0y0DaDdfDaJF8OTX7Kd5RV3m3tcVGMVpho
vgS22kaXxjbzN25ZOhejcY7gXPcHUOopG2T31P6Rj9rEFWIW/rt63XEnR+6lMcc8vWCSOF4Mo3V/
oE9Yu2gmWs6LWSX2QdvvHkrGPBEcljuVehZQrtsl1o1pTTB46oJyxabOh5GDaJJpDy2V9LhZv4y6
NlbQBcz2Y5LFduJ7g4chsNI6o3VQGN0JB7JVQB7myefb3deOknyaI70L8rIr36PaEEWBVlSucfBp
98aRCEEyBkkE3uIDY42y5AAsCqRCKd7EutKeFz09qrPshZ3fR5G/4rc70CnsbGxSRnHmIUcPCmS3
20Vt7Nd9058pqI0/Hh+W++yPT0ntmutWkldgy9yOWDu5q1TktCSauYHkWGq3th8VuvMOIff120gY
fu5zKl3+7E7Gk24v/dvCM9KPUJTLZycxuqMC/u4aSHoEVQcJf9lsrnpW3DQ3yj6o86L7bCt18bzk
jvYNGqUTulAl+oNPuxcGoWaS+3JwJXbgdgmsoS9Fv6Z9EOVKep2i3AujZslPPVbfT4+Xe3comQdA
HyBAbZHea++sk+0uHVZ2Sn9enap4ShYVZT5tsq6Ph9oLEICkkIqCI0z1ZhMG7VIZsj7GhW1QncIJ
LTcbfvRJBCdZaU35XIMmoIpUPaurkV0ej70zTdIditwQUaVyvfzEv23jNVsWA+moHr80pX4Zllb9
EE9O4Xf9fOTizdtWbtFNwNfRHUVxHa1PZLw3j18TV1a3FaksGGJf+0aZcxeGQGtLwklu1B9FojBN
wpC+XoQ2IFYDhMILhSuU3jcTJ0/PWt33n5TcVv5Zljn6VIsosn3DckstxJW1ncLObTXPB7a6LJdF
s+IxTAsnVS/NYDXfW2SGm7MQQ/+vXVVSkWmF8Iu8ftp9WFR6cEFqN+Z3t53z71qPB82VrrtZ0P5q
5j9o4A61X+em2wRLZhT/gnvQPleuEHZoI2T9deqcsbssa519lQjyOnAys7N9z4vyj6lpAKYROmAQ
6FVdkvlOb6ovXTZ6zRVNptH2J8WchJ+pq/g+jsIu3hW2o5wXOyrqMziBYUZ70ImicC5SYV8AwFpB
ZwAJPyfe6qbXyIPmGmRu5YxImCzIDS/10hWnSU2rNVRqLZ3PPIiLq9egyAuxSHENVMKWNv6Ai2r9
dW2N+J9KVMNXQK+ojM5iEv8MSur8hQ1QMiLJhtZpqCDYhqiUpwO2ibKyMX0CQ/ZvZfWJ8uI6ifZR
rAaWrEbqRJ94J5BfDhkGdH6bFHBxOrVyso8jLdbshO50TynIqpYvi+MkSEPr/bDwn7TZZ0gWo+Fr
eHmdrbW2Yt8Yk+6lWhFsA4NRgZcdLC2aA89Z0x/Qz2LQSVqu4aIz53P3vunXyQkrfKCaczw1nggI
GPo7hc5q+tytVvUudZwIlYvEy59jSymtc+my5QNuJfNrPWbJP9jOmV8zCjJQdqidq4E1ZsulFLhI
nFLNait86jL4kZEZY8NdVBm2wxWIvxdqIMt0imunNXwj1WaM3hJIjc9JOyzlpW8MsDBVHH0Zy1Wz
wsntkjkUEwauZ2eovSJI06rJX9wy1ww/KtFPbDU1bQJmoZ3j3krMZ4V+qQjcuDdzHzpCgmLC6AzV
1RodFUmDodMBLbvd8qxw9/9I0xUMSZOsfARt7b3pqciHjJZzrDr/mJPXWmcbBbnML8AkuD6OBLX3
cZirfLmkXjG7T0h1wSwGv1FbFyOK+J8pyrw8T2ZqKVc9yuoPrt7W7yEcND3KxaJ7m0WJ8XGaUpWa
JtTYv207texAR8fTuYB1KfIg4UliPWtuFBk+6KcMSB+VmuG8du6q0QK3OuuPJXWZZuGMM7E3ma32
1JtxN50R8gZ7RpWxr8/FIuDbIDEc/TvYzpJfzTbq/60jvfoyW/RBEFxo3MUX6ZRW5yVetJ8Jinhv
4bKmRB47aUckRB1h+hjUmY5ftcL71MUKO7Ve2ryTy5tfZ7Zh7Sv2UHyIYvzkLjOPgOeZB7pzAYkf
9UFV69XPLuvhIy42Ghr4NdlN7iv/5+jKluPk0egTUQWI9RaaXuy2He9xbqg4yc8moRUJ6enn9NxN
1WTGdjdI33fWTepLWdJbGjdG7fVIEWwOe/JI2XZ2tOwPdeLXrINfrE8vi9d8ub0P9k/hc7JBXVQv
LzV4q+pgFXMXsILuHeZ1HjceOZ9fxY6n5LBCIa0udtjHf9A0+q88k4U8WEYcLkaPbqVzjy85Poiq
jlhLq61+MYV1a5cO4zJcojG4vTUsSgzcjQhO6UjlYkTE5xvEblo5NGFg3qhUZ9TSy4ZzeKRb54F0
dbCZRtC5hjhAld+LoTromK9xo9ZxlkfAT9v8OI4boFU9bd4ePDro7Hnq572/r1fuFFog00E3YwnV
IdpCd2svvIooZBdGL7r1+4Bsr8ijKLEpxzjaf43TsNM37LTZ36RyIxg8MSr+kEh0lY/NErgKKLYL
s+uQzqWyE2DenV0TScr9ZAIUB/f48IEHF14mSCiDkWw2Tx6Zl9N9HyIEtALon/nfgtiC/RxGugqN
4VwiOr6xBfL6zanIVV1+FxN8ON9D4k06Naa3yPnt+gHw62e65ArR4S4PW/QKn9Bc//MYDwU8rH5V
KHUa+z2JmhzpMaRu9iSFP+sYiWoRvlkH5Xzc8ngplhMQaz3+BiIRIzSYIBLlb5RYK3OwhoWQ537I
06G876sax1WbTLWJ38y+JftHAlgbzEjCE/cIrncyf5cN7dGfUYa4YYQYhpK0WhRD/58icE5tR1H1
87yesBD5+bnYl9Q97DuaYGSb09pUUaNZEiHCQPUq4v8mxNsjb7Emhm+vABYnfr/sTpZwqlcBvhiF
rqGffA15LPD4xNvwOENQk0E1N+z8CpccRi5Un+aavKEpFhLwEpiV7QGFEDG/RLTQy9DxdCEzridp
+gpJhFk6Rq/43GJyQBptqp+qgJ8SNUEzjc+tD9mAnlcslDm3nxSd0Wk3x8hsFC3ErshibPxQuf6M
wDQzPhpWW/GPTQEhAo0jePQfkSTg82OCdyOWTZyj/TnrYpqN8z9EquhBHSyB1eUyYmceDmlfsEeb
7sacFXRrSL5dMivuKx7dIl1qViMDpS3Q49U/+ZTfynSSMvgM2XDC1WnD5zFDD4LIODUPWfCifhhp
WSI4n226r5uC+FqiQEixunhjesKXgnK0yC1LY5DyIE77Us/7eWFblp55levssnC0R12LmNfzURQJ
3oQMbVy65RFB7GBAaVY8ANevh/FvVQY7PCL5qkibkDNmW+QtenSFbQjsbXQEf1ubEu+fNF5MekCo
BuZQQQmH6CJ1AqQRL2N23HaOGFzpehzLkAibqT5Ap8dYUyxTEjeWrGr5sUIxcbsgQz8eoOmJhyZP
NvrUOzXvTdiS+WM0Cn283Jo8OhGZeVREFgNpUh7V28Ha1HzGITG2oVPkQI3FqP7o03SLAYmWO3K1
J7C6h2kpyJOnu/5J9sKFdsuiRDVYffr9bhV14Q8bNVsNExMCuBGdBttvW5SG0ib0Kf597OjwzXKO
wl5R22E9+zzQK+S8MPqRXfB7EyXx+NAn1eq7YPvxyeLcwwenZfmep+gvHJuQLkWFuwp6w9askuo2
KvG/bdm8YS4o5zJdWzvuAgiVQnZjK27Vtqj50zr+JRaNauTR1Eo0mAzRPVb3pSBHSNRsjUQkDqGx
06uoDqXhOJmVkCMqtJNNA+ePN2/eBDNOniZ0trtvTIpp1pAho/O/MXKzAN8upTv1OrLb/jigE3U5
hiG4gLBWRFvLn9VKTVweA2wpacPg/Fad1IWjnUxQEPydWBV/CRVjHQPGLP0ldspVTTFqZDP5aUas
VgwHWNT4MZdoTp2r1NyvOp/PcZ9P652FIKpqEiRlbc9J7OIY4zYCQw5D3K+hK7DAqXtvdr+f9l2m
BnNsuTE86rOBSnpgkKcnrBbkgOadYJoisQ4SgrxCwvSqx3Co+ZonnZ0URrIG27MaHnEYJ8sjoPNx
eZ4MEI8nj1D1spsJV7w1UbW/slH29AzBXXmZECYtUCMxiXDKJsBq1xrf4ymjMFO3MSzGW6cWrCrP
vPCEdKOQ1Z2eo/CvFGn0vMvbSLrSaX1ccqY+KSQTuilljBFF7hAYtTJzrGgqMqFCpwyEfuOtMd95
4vCepDKI4iqCEVvHY1b8V1TboDtSOMnuyMLL/6zNkME44PC8ctRb4D8WC8kahtmWtUnOKeLzZM1e
HY6Jl0xLg5w6QGe4p+Gt7x9BDxDV6G1heHqkRVwmUl7Tl11MM28wGXNoM3C7XfSY4qYVK1oF7nAP
K+QHj8iTQiTAMODIKhH7cECgpdwfaqh3HpAmWmvsUZFdGhypEiXOEWIEIjUx/asSbHnGWY4QL2JW
9rEvC51OeBPG117cCsG3YkYdzL6yCW27NkLKgZsnjTFugH6vK4zHj9d1vZyjNHFlg6wmB9p2qVe0
LOgI2xestnWrZU6Tdtz7+Hmc5nzGWJVAC2Yqze+H3cbsE3ic/t336Pxu0W8r1B3eyfKEwNucfBUj
HcbzkrF5bkDV9R/WzlY21Z4HfagHquIGA970yxQSFYyyXhG1YhE6+haKioUrohOiqQXua8wd3Tfx
bVE/gV8YkrSyGQjyqc4mwynAZl5vR1kqS++KqQyXReHbeuF9NV4Ti5Ox8yoNyR1ezX69ANzgrMkk
KLyr24LUSEVUWIEWuYJZQQQk1DM5mu1JZ0o4yH5C976sPxMXF2uzjnKdPxyLirpFKEeG5JZ5lewA
ShyhlUJK83uIaLw6LD3zlCFNfxNluyMGOwZinWLArVaRBgQ1UVfdjYosS8vEGKufM5G+aoZy6n+m
OFvLpkBj+Hs2m/ErXoL7rEImP6Qv10fPRPjt7DjTC6Ieor2ZLJ7kQ8pyy049H9f3cjQ9MM8JH96a
VKP5HW0lcQ1RRf/moLL4kGNR2/NgdP1d9SboUw7TZfZSI/0i76RPsz99lOzFoZ7XvLrgGMeRmk+Y
VFVYaHJFvSq/jgWGqgYXRSXxlIj4BY0WVJwpjHHkcXTK6LODuQiHTNnz9YHqsC1nl4k5eWdhE+rH
kmDevQo7odaL7bNAfouN7vBN7n+yAOv5CeZQt/5gGEzJNduy7b+R0UwdFIUprckq1LpjGOKatxuf
ITAzOY/8wzhRVXYJ5zp56tMKdRqwHFR/43iv31DvGswF2MWUNm6ma/ywQadxcdOC8Og8yip7spr0
GMVMTk+MrG44TzyefqCtw6FHFiHx7ow9vT+OQGDMdXVzfilswvN2cGmI7xk+HZh5yjxCEfaerBdI
84r5MqyEvJFBUgwXxCxoPVUV+UziAJ2S4QBqm8gAOGxVllPepZqkC356zmgDhTGWCg6l8M/N9XIG
D4xndBZxn3YyTcRL6iTiUXFnRvc3I+d8cCVRBE83fnAjnVT/bpZ2TG29QSp6PdJpw2hrsq983xd2
SZVQAPoK9BymI1qqW9T/7uQHolcQb4O4lv4Et2hKG6WQ0NJZKBhdYxkepgNOUBxumP/2P0k2IieC
Sxshj3eopn98Vh5N5EWx302uUliJaTIQYMXQQu9XypGZ12SbATJEUAyFC4XPKz/GHhKuE5Y8U+EP
j8LoeJOsIPjBdlf8Mc2jZT+DpgRwFmdIYPjA9lCrm2mB3qdhzu/9zMq4iYFNJ88zXG3hCIwrzY+2
UOoToSSpb+U8TtMxBkgwoEpjNeFQFQPleIwnZGohhZs3RvIoOeG1TpOTxYzCznu2y/ySDcFP97Pf
bwRxNfdZQw0PEXZAdNW2Fb4jeZZkLE+bJ8l0wKmT6CZCqUx+RHLfKNsK10Z4UIO3pltrnm4fJsKc
2AX8Oh1mVoIKgLEHoGUFWRAVejOS4B2t0dCYyBiwicaPls0UleUrojDXEjUmAxubgW8AWapxkKqJ
lrVH08vC5NMUwSfWLNAWqKds9OV5iRFWcABMlfzAIU5/IiBxRD3Ynq3fY5Sxu2pLNQqc2BQvF+Ew
JzbJkrviMC8he5mNWX7ht53jpl+SWp9mwBNfygnyhty1xZ5oik7QLjNZ/rnWfpINIU4hJwmX03/O
xNm7oPhAOiaxrW6DrQI2kgKwDxAz/wsNCRmUuHZPx9bNaTxdI4UPqxktdxfBieZdP6bJ8wYDcXQe
FRRP1xzo/3YYGS/uV8XCcuDrVItjXfXkpWKRgrF/QrNlUxRRr7D0/f+7Da6O/gKUE+IV0XxCP5UZ
ZKOd3DKEfsKqjFyJTSX6Ncch8S9YTKotAqdYfiFU2/dYpdPeiWUIdYd8P2jylrmyiOTXBk8+3pPT
stdoC+Xrsn2HtHQcaVEjkcckc9S0I83Ck5FC04uFiMg0uD/JB0vygHBTto39mfisfw4p3/E6xRFm
ZBfFEhmrI1InYEuH9QMdYLVsiUGeT7MFIwm+1gFf29aH8kmUBrAhHh+DojK5IErUw5lzdhb6sSYV
BIDkvsaxOmSLxJkl+m0lbYnssd82yiPRzj1FB99U8gmIITPji3e3ohPbY4A+uxmjTbPkenk2wpLs
CHBWval8gSMMgiSj2nGMwGhOo6r+YrfZL2WE/bEBliBObEqBPdSG8u3b1KnUR6QRE3G/5oOKfgdI
9P6rFVrWW03H7NorKv5WwIGXbvYue9+QaXgJaT/QDiMDinpyh3S/BsH/8X9kAW7WjaiqvJk8tZMt
JjLw7w2+/WV7UUi2Dkdzy6E/wEFILxmGadoFHIFvdc93MHRjpD9qsu4ve4Grh3rgRKh1Uckb96PN
7tgu6PPuXR+/FBgKtmMUO7CZPlSVOoHi1E80xXPT4Ghdn6KA5bHLkGZ5qSbolFvE2NTDQ77DKO1I
XWJPCAllXTrO5jNdJdcX6ih9FFT36FkZcmNPSaTpudp5Ot2x3iEHICpzxgF2UY7RCXeEavbesb9w
Iu8eCLOC3dEagnHeoSJzbFgRTI/agWr/rKCEps0CO9qPW1wJ9sG9QqwJ1J2mKxFz8xuzKUWhlsHq
dkBrMHoTsqTcf4q6z39EXM7sNCxl9q6qDGCdLZDvBKewr4EA82r+vdnp9lWnIe8KhEx/3ViOsRVh
nbNWRVt4XjOGFQ5Bg1s4hLgHvq3DIH8k0Yi+JubKDS+CYOWxchkqvWwh6wHiiWC6MG+FftyqCBMT
eqKXB4w1HmaEaUrtYS8LuF5rpKO88QHaoY9FLgwfU6Cxfo2xgH0NHqtLKwhcDY/CT9s145HL8TZI
/G448kRGmmVU4T/KwaqdvFfi0VZoZQf4n1bTE5kKPHDAmUUzo/YIw/TgJIrBV41Awixesi4lDKry
dF6SV4NAyvU+H6b+rHGjvPKwpldkfkItlFYbR2oHq/vwHNUj6pQ4zKnNDjwTxoc4EunDsEX5N8DB
XFywx+cPQfJiOLsgY8QBM0d+5Sgm/+5xYgHAlmK5ogtp4g0GLv1ByUQjUDaReygch+/UItPMtgY9
GQRBTdWkD1U/xHMTO4b3E69q7ToER2K3w29XXn01lFmX6F0+zStMCU8QEgCf8PUGcyK+gCpugDhl
UZOOVXgTKsdkIT3S/bo+IqBfdISOly1kAcXyiRBDA9QDLw82LWCgmDk94oMIDxXGB3AYFyRliRgY
akjnM/Bp+4o7GjWZiy+574ox2OlaJBr3zo65TT4CofTz1fIa6w8cR6m4sGQYySGfU//Uz4H9mmVp
jpBSQJ2MMh0XPyLCCB/bmqZT1C7C0PCwM8I+bY4J7IOywvymdsrzF0qIhobP5FtyrSC0vvN7NtnO
8X7AG9WTKQOWuhZ/6YKSpwYcGR8fRhG7B6M1KBSN3rCfsMqVCG8HwvYMe1UoG4X0+ntRAK49MDai
7aKf7faqLKqBu9xTBUkAGQRIm36Y74YdYXvvtUff4e1rLeaDdY5/kVKy8YI0wz3qiM2XN7nvFk/s
hJTXb6IAxg07AJoP52j1ufvbLz2hBxT0V4EGiMPG941D20p6cZZsL/d7Wi3rs8cD6u+IEP17BVlZ
9rZyVsp2BOO8fxViVjejACQvISaotmAq3YHPWeS7NRvOfIN5CX8KThQqLKqZiqg+94CJo/OqIxI9
0AmaAyTakfl3MZNiPw2qwFhihU7Dwa+IODk4m1vfRdFMfpHN6KhJonrVTb9bOR2lA3l2CBlRH4B0
6uhsUF/4Db+oyx4FYepvYeL5yVBLlhaXOw5Vk/p4OS7J7kQLZzVSLvDqQCY0jPXFo/U0fVvyCTwS
YgH8doA0uqw/dxBoyxmI8m6v1VToV7S39Pu3zrZtbkViOA76gvkDir8tWhQ9FvDGhr3I79Ma79N5
sPDTXKcAyz1gR6jxLoiD9fRNj6Oa4G7wcgS3EwCnaix4N6uyJRM+xdIDzC6WR5e7bH2uneH/wZqT
Cbj/4gSnKRtQ+2dAC4ozxMH4g3Dva3w0EI7lZ+hNSt9ySDLPPkLS7qFeSsA8adL392B7cuwD01o/
oNkBTi021TNch7WU/8H4SADirhoi6yJsRWhJvfHnnuz7k5ypQnIA3Lo9blBRI8QX7BTQbxyq22FA
WvH5pvWC/l+U2/QDDOsCtZ7M+j8xNnbdJqxEDhTMfSq0VZGoxwnKWNWMyRR+g+0FOwidLoJrNOBF
YNugjm9IUr7f88JyctYCpT4I+sDJweYw/NGM96zDzo1/7LICkluoc5F2LTag58eZVf3fUDD1L5sk
hm0kzU+Y09f8GVHOi3yUUw9oXQsSdRgno/EoJ7ma59w6cU4w3wWgjzTnzThiYzoCe88F2togUAT0
xfwrQSxQ8iKxf8uT3V30UVPjk8ZbibyDKcWsdlkig9F0icf9RwXWZe4M8mOWI/Z071oZAlYWoEkm
7khIcA4GrRP/k/hdgkes1x3LaUVX3e7w7ewIB9zjl23cy9+bHOGpDf9/Plaopulhj80Kyju4ZDlY
iPF+xiqMCZgMTf+sSV+4jkfckHZkcXGylZ4n5LTt8+sgI5m81qtdbeNSTfWxVpLoU2pKD4RnI7fa
pnXPiyPosmwGzB/DuOKgywpNznux3oF+YqLpVb7Dfi6mDJ7UgSNRrM/S6imgfwUjIN7R/1Zd0iuV
wOpONJ63Q4/C0aKbcaTcoEgmKSQqeM3HWtymAOXSGSYzAghLbKa6LnklogsRCZ87AURAPGD1HDZo
oRDDdSAMNStg83ZxVy8VmOcUqylo6iq1vLO4BAAgDxGAOcvMb0XIAsK3Wo3oxjWV2FS2VDD0PYr9
yzqlce/thJ4ihBOir1aybDoji2HWd1m/EnwOye2BpWJHXvyA0QuBcjSeWgTIAB/TvNfDATjKACE9
6desmXla8GM/jqhRWvhYp3cwhkErEZGAlz5aHY07KjfxKJcJfCSkJChMx2IivjA/z77Bok6LJikx
kiGikvOXdYK0/H52JbagSOe7Qw13IEeRK6YOYS3dfM1zKViH7p0KAEq+D/fISlr8NbLDdOXaBdUo
k4LCy/YRca0avff8jGsqfucpi//lqYcNYLxpUoHkcMbuCpqgOTVEPaINSyw0okMMukb4yrKuX/tK
McRbRKQ/Ipjrlp2/rwoSqFQlwFcjr1VT8RFfB5LBosu0BTALiI2lWQOV5vi6TBlNjmbrwWVhvNnu
wWK78aSTDLRdSAb860FDdnPZYXOP2sJnRjRBrVSB4fT2ZQAZpVuUk6LK0fUWNDwJfrvzrJynI2Zm
1G4ieQdLHPYsd6n9gppA0GyLRHZTCC92KcrsMKDfpTrTkU3JZdqH/EOCn7xzwXjectD0A0amzdGj
F2sUNRTLRIG1OhHvDLjKxxp8yNvI3dQJtiqoOfSTLrFPg7KXdxEI6leJsSl7xzaoxY+M7LL8B9x9
hEKgnEDeMABC+4G6MQHGA/Ehpt4BvWRop9TiNNQ6xehO4v7Ss3koG+2XbLoQuD/RGwkRGjmANe/9
f0UU8A8tlqBXiDSQAxYIqtobaH2Q+6hlXR+nasxLnKfMp2dKxfI6D3L6NWzgkdtRIy8Q4QC1DXA+
r/M/cBoJCIYALm7Ccb5X+uiDQNEhsAJoIDCPmwWcfCj2ZqxNfb96tQNWH6WHIIrlkBBZLsQ3NgWM
AqEq6R8O3sw2+wQUqksYYjru/bKQzsNOZY9hTOUh73GJXbBrbLqjw7ZFhx5Q1F2a3YQHSKgqWAvl
hccNhywDMOUiX2NEoGVBPXFP5QpsjCbIWxQ42iSF5uBsN47zulLF+gPiHZk9xym+p1+FCDScN5zl
VaNjOxavcyXSsosGhLf92imW5kfwHjjrwCwDhEs1CisasfRUNQNgLrytBV0BszCkEGD+IR9gjnD1
MzMP6qNwOPY/URtPsYLe7nzc78S3W230GwyZ/dIh1AduMnzM4lO6rdwephVFuxegLGD92f//lBBX
NMMXjFnnGS4piA12EeZPL/wI9z/bFUrkxDDL64zieHJYtyAuO4oL1U1cjSigVPYJrloVlT8zQBl4
sqALYe2+YJQ4JizDVVXiv/wtXZ47oOpV/Fbwffobe8hMG+hN4m+0Pxbjfa9kyQ4g7wpzTLwQb055
9q8SVIUOTq/ZXcXGtrqdSCVl58joLUwSbiJ3SaKH/1ikqxH5jyM3zVyx+AU7EBTnBnj3gM8eS5ZN
Kwiv5jwxuL81jvR27XvhOurU8GeDEuotsRGaJGpd98WhylCY0Kgsi9KDqtfB/RKl5q9whtXQJwU9
0CPsICl0BeNUoPxTGz6CxZE+PsSJgn4gyNpMB5g3xumqKTz/zbxUBrTpoAHeS0CT1wAhAERFfs//
g8zWLUczCfluiFJlM6vKv7JCJEmDu4eAuV6qIb0GgSPxcGvdCHcG8HD/IJUGxK/lHpWdQOeH+7XZ
Nc5aO6stfgD9nsguWwViz9Kop0+VXtMdSBXFLYauv2CfCxcVxUEptGrczfBZ4ElbVPZQ9LD1d4hr
QeBjQJtk3OF4E3EzVvC+HCTomo5XQgU4+qBou+Gz/rpWOimO1tsEsbRcCt+t6J0swPN5+hFZqAEB
EWz4zBcHwd9zP5U1DuxNFPc95oTXnmTQepEaKlULnMbjDpaFO9a1Kp8whvAvEF5EPVZ6mc8mTnd3
5hL/151f6PKYZOj56QYpxFO0LuV/RaCYEkC4opoePHz2pDD6foEs4PC4YeXDwkbTVLZS7GXV5CME
EJc+A8IUDWnl/i1kDL6ZoQ4BO+pQ4HzAlAnpiw6gQATT2dRJuaLJYcy36VceD3MFwiPGytRAd4MZ
NBbQencbSMAJ2bBon2srCrKmW3M2QPwFOv9FphwQl3FE/+09jrH72UCecegTmtiDuG2SWGXnDYN1
P0xPm96ZepsWyPuuERHx201DGpoq8+FcAFXWX1hn9TeoWkYekQCPKBaoZvq8izC5XgOaNkybwNF6
nfS+Zw30EMiMHYHvb9d939XrmOeojcaTjCPImxzHX2Vz8chD4ZEjLI2njXWe/SrYli93uM/yb9dv
06Mv8v2t1rJYcFXmkLdDLrG8j2Nv0QwaA3GFkimufgDjzwx6OnHxNEKNddFsW2H/hikDJO8igopJ
mo7LA5ptJ6ikwOUD2FAacgjEZFR3GNIJmqoSMCAHXwzszVkEqhxHlqr4aR4tTh7skurv6vcZzV09
AqHBKo9YxHq6HBMj5hkEIpDYT78yoxsbwfsPAXzvHzmCXtSfnIf9CYZHW50w3PdJZ3pja8gXo/pX
EEuOhZDGFVAlqIqSPyWBTLBbLOGnODPwa22MjBj9kBeJaEFdOX0/I9jLgD1woJptMZEnEeXbb1y7
zrfoKOV7l5qEfw4z0ixaHDqAVNY63oc7sWwajKdk9WMitiJrfV+BWrbo+03PQ23Wd+zeDJT0Pg1P
OARkeRgh6f0Wvpy/0EQBMP4Gjn0igXp8m3tOynYAZoS/Gb5jPIzLUh17BOlPXRni4Z3GI0/OhYHk
COoh2g+NERwH6rBr+QLqo256xzk4Xa4JwCecjrfxoRp/0m2iuluqWrz1U49DAYqB/Ae0sBByJfj7
npnO6xxHxTCzZlMy0w8bi4YvAKzT2MTTxPsmqwWO2WJY9B3Jwo5AUT657ei03f8B1VswUqAMnbbb
DIK7Wxi4/C6RRa1uu0gZvywb5Snkajt6ruEcZY+hXsjPDYaK9M5WibvD0pbiTsOtYk9pFkh4XgB+
/Z4rv6MoeyuxVWDNHIrjtNnyIyD9bX5Em2E6YIOl6xe6O8ut2wt8JDhjp4CtZNI87kpfGgA/I0WY
wbzVfISSggwXYNHzelyTYr4vCITG4MQprlTqPVD+EGj6O9oz1AUMlKJxFXRM+jADZI7wlDolDmie
Ivg5Pk1/ek1ocYKM351TLAG3dV/JH5WL0rHTeY4ns4II68ssDLCoG8gKpTgdXyZVDkMrty3/w27W
uJZta/6esDV5nZbIRlDJFQtEabWFvUWWGD2OETP5V2kN/TNNif1AjGRRtAViuDADJlEAgjXXttny
MvxnITXZTmkhcU3CfkmusHe7nxNUfPLoQOMgDji50c4g5dBgn6AgV0DPjaltQluCbyHOGjAWr4Le
m750a6t0Or/Dspn41plyj06B3Sj/Gsz2M4M2CtxJX9IPKHgyDjVCgg8qnYoclDH2iB9TbgbXiKl2
v20847SJIAeAixsKy6PzrnINsNrhq1+2GALaKE8Y8g0p8+hCBvOO4bGG2mOYxNwBI2U/GYSMkGaZ
hPrDnnEBBbkOpTkDINU45ROdAjWch+cejzW05FMEoEKrtYKkJSvW0O4bSc/jlsTrWSb5/lSA0phb
A7FP2UioD+cmSrRS533FZY9gFw/SBU5XVv8olz56gVwKooxBm/ndWnB0a2Oxtd71HHwZ9FVugt7Z
xJh3R4yKII4ikZ2CMpk/GFXWEv+HA+R00D/w0HDoh1FkpnqBWAatQBjWfkRZubSD/YUAQPlnzvry
H/RA5T1ROYDkxGGuh04H0VqHW1IHsuTJnqanFCPt9+Z1Ze4ggtsuWwx56KMG3vnHyVt9A8QYub3T
fKfb05iI6hl8J1+ROqbSHzPCIsWd5Qn7tULvDclVFhsEB0due0xRt+6aZSPTFSITIxtskdEHGMIR
kmPo0ttUFLgpUsfoMxdR+e34ZOo/EBsSc4THlGXgM938AH08wEexZfVfbivASgTKsk6VFeA9aAf5
1FbWZNF58XYO0K/6sN7lpkeDDdMJYwcFdWF2BRnS/9gq8P/HXa0CMDwZ+vi46xnkfiTlcoQlGfXP
DFvrawz9Kz1isSiOyo8xGtyKbIAhJIjqfxydyXakOBaGn4hzmBFbiDk8O22nc8NJl9MMAgnEzNP3
F72tri7bESDd+48TirURYlFCuqn9IpCCvEzduHzmvZ4ex1Dk7WHMxg6CIDRdhnfQhk2Xge+DBExE
aBxYw4JrPiP9S+w+1uNB1pw+77PypfmKrJ57bm26ytptyNrkvSdW1b0ETTkvid0yLCQAbNJJRrmM
u7BjyU0CFO9OQguWNoexQndxaDMngolpg/qBMJKNKRm548F1Jxfbwzis11xNHPV1MSENM7rJv8uh
dUOGbuCZK8+Ft6fbgbMQArZ10R13XOGdMbeW3SjovmZXYDHK9Gz8NLTnCtBHkBPLrdHJ7s0ZXGAd
FlXYxZl6aRRyVjc0R1KKtTxlda5eclmS92fIBFDM1NV8RePSvq9W0F3XOvccAKuSY83uMEFCSa3z
4ux8bxbO3mox3d6LcbbVcXDGWZ1aXdorCQ5MwiBNAMGJE4YRFzZ2uVMXIONODO4JhFnakV8sRT5e
IuPMWPhLtC+o8IsJNURcFdegtuCEiqioeBKEt9w3ynj1HiGa2ttlqDXrrmj5VerFfPo4Fg/k0zf6
HLstrDJPBHz4zLfRP/dtjhDT1H57H7fcFklurUWYIBw12aOYnBLBEF1e8VMR+3m0l2MRlPfRxC6U
OquJvfNQ541i3AjraVcshElB83bDHXSz1kc22PE5GH30abkfiDhxMuGaM8dWP7Cqaf1PRABb6O0H
zPL9FguVBqiZskMgNLwsYJF2ziPoxIHRg5NkKsbtlylr+R1F8GR7LMq8vFHXj78tYHaP05CFj4yx
MV8PGqnZdBRt1aPVcqb6zS2LuTg00rOdxLW4XPdW0QYQ0900c9OonMCfsGrF+4ZygoGclCLQj2pB
2j+jG2Cf0AhzS+S5QGYZ9T6IGWy5W4lSDdI5WKfHgb9n2dd2WJp020baB0CVVH2vII/wOsYurRFy
CxlvNz73hfdarssO8hUtxmCF1nHiVJsO/ey5xaHY/JvGYJmzB3+ZWtBpq6U+rbPn6aMKlHmetRlY
G9VQlGmL9D6AsvQnkMpGlkvqybHZzjNPM2Bus2a/A37kk+dFw2vTT1m5V3wQMIbRhNDY1JFpL+T/
ufcgWeOYgkGQdOxydTyaeZPVQRRtFCVyLZc5RerlGWqHbbvaac02l0hOza8I04C3D1vCZ1MDccU6
Pi7OwPmYIx8ufY14NvY5FBAZdhkr9oQoqkODMx6KsKleramMzHnMAvtOuaMAWnNwLvboHsEOAu2F
VzvCc4W3Ya5extLrYdgi1V+J1454qUGpvmRm6/AAAM3/lkku1RRwYngdmDuyhIDj8hFAIRD7cgk8
+RgF7fg6K89ePirKUt3zMEpkXmoKl3Pde8aCrM8K+3uFKTMPyiyUC6B+99t0cGQ9HDN3kUcXsX71
zxHdHP7Yrb3oBGFAYV0rt3e6FOGj/eQZAVDXbn3wuhmvad5D1mQDHEtqNI/6dntk2rUBereMOPJb
eusJJ8R4qb0mD0+hV7uIbKMN/z+I2LLHltvUcE/zJM85DqeFv8fAtmeAdr/zXHG2WCjrf1Tu29/Z
3CE+cq0ifMywLwG1rzmGxQqoKT6OM7B2OpaWNUDT1iMycrvyP0DPHLNvo1Yv0LBT8B0PLXYSZJOo
px0E0Z9D29p/MmPi8N7U0zZ+zFx0v7lGtnjnhwvyIdQceQup04RfOGOAac0cmPJhYmPN9xUl3Wvq
FYEl+FrkfPJb6CIUUYUMd6rrwD1oY7ZfTQHHeeSXQQnJwtJ+1EiCKb1CMtrv3dJDzsAiUP/rcSdW
P1aYqW+pUHAcqz7yhp0m9+AlKGHbKrOx/3vAJsEA1Vys7zaPNcElZZCz9cTb9lgh810vvN1d+14u
ESKuZJ709AeYpBuOPgT5woLqkzqJe3Ed3mpSfaqXoQ2Ckak0RFvvb3HzN2t8584zMxCRjBhcd40Q
AHv5DJrsrLazXpEg1ltabfX4MkQKowd3J2Ul/qTGZLUaJJIwhryrhrSeKvHGmrPHjEP4VIT1gpTd
ysV97+lB3B6YAabHDrdKprln4uJ3U615lTBCSlRNne+kKBv5Nmjxza8lkkJzHqaoQ8vehywEmVDM
ob6fGcZk0tvnneXjUEnE6JiVicVjtuCXcJ8W2KXhOJX28ouXy0ynqhoq+5hz8Z1gyhBSDd3g3lOj
4KxfE/RBtudDRijq976F1mkc27tY9nLYORH70HnBWeij+FFDnix6cVGLEYi3/R18UoYfXVK7suME
S+fftUsjDnWFL/zg9lXxPWNPvwdqQoy9gADtg+rG9PDx2pDG0fz/o7iaCrBmPf4MttjepEHKmjh0
cL76MuRvtOvePFqrv+qjCmvgP2XNTUP7QQ5G52286IdxQC9ARWZFLJQkC0Z9EStJh3PsdNkPIAu9
i9LtJnnoehwjqSR8smLCkfnvorYh0ZhZ5zht1AbeUkXgzmmuEaxc5hWcaGx6UFraMW1ohhZcnr2w
aupTBZflPRlrvoXIrMpL5iFcrzU7OleyPRTc2j0lhMmGqZppzW/wTpagieHDMmHywGjHgSA6135B
GEHsuMPtHN1PrVHdmYZfpkLf55Hcs18tj8yklUyqEtyYxRojIthvzaJwa9caKXbCNbgLBiDjnaSA
5JeoGJkvjixYlLzZyq4t9+WZtJrxg/AfODmPYtPmwIqNAG0QnBSHzHLtj9kwoiVN1Y2vAYa8J5zv
4CdqyupPa5iyXzYQMjjcSsNH2nWGEPCW04J91RoRkTET/Gd7oKtAd0zyUK71+tRt68RDLzHHHIWt
7HAnuZuegV0C4O0Rt+5RiCx4W71KWW9x5WWMw00kPrRut9+auRGVxVYydU0U56VsBJ2fWpONtNA4
Tf9Q86DW+yjH/cheNoflXU7sA5wRvxOgRGGxZ5ApZR/8UdjjWx00UX626wGyYu6bAstIsXgMsEx2
kCKBVydhF5WvgJFZeVK2LD6xx9gLOJwy8IcBlqUDZ4RSj6qxA5o/5hL9qF7WX41U1m++GrWmyOSa
N33jdFPt5dG/aRrljzY24/3otV6wGzZh6u9RDVVwO0HdWUMat/abcacmuKBt3tQr/DtlltU2CLCb
yrKHb8ObCVOXhR3jb1U4DGrSJhKeUh0EWatVVXA8Ul6zaPKWF6S33mU0REenMkRZcFKqtbqT2wPE
M72K0T+AIpQoxmcUQ1CpVQwjbfyvwfZq7pnIDcuTLObhiU5HDJ4VLvRflIbb/3l9vl763JGAmjSt
cAI12/I0a9k+I1fLNbAGiTLPfuF3b6V2rfexqY1H0LNoHp3etrJT21vWPRrPbHhzFb47Omfr6UTF
BiC21UzVC1OiR/RtkdMKiZ/bvopOR8hyY56gxAV9IiEgWOxT1IyRPnplvnZHf+2mha6HEXmoaIeg
eoqXTJafno5N/AgwsEz3xjBc7tolPMZEQoXD6P7xt8p9hdaxe2bufg2ORUbn8anH2KBvZJf7M5Rl
BobaVsMz8JgsTogay0e5btMtnHKlIqvcwvlfvUiOpwJz+mIlapnL8eCXTqTB6VS5UTUXcUMrhTss
bf3Sj47rAtB0Cpogavc1YX7HZmgtnxZskXefpAMHBcGSlYFzrtCOgW8BBezGVWDqRuHAikiptS7k
uW7H7h9Hd/5rI0lr2jt1BVXVej0+mYqYzx+aLuUV2fw6X3XE1pv65RwV+9HZvP3stoHcdY2oxGFz
ZImbYgGxryWfqwVPOiRBQNUgNG/jYHR1Msc7Y0wvP9CQCInJkpz+lAEo635Zq6W+8GxA/7QAo+QA
rGPrYRQx+DxLrfW1zjvHOUQDZcDHucem/b460TxAhYFhw93rMmSID3wGZcqAOQj8mEcdPeh/Oej5
wsquJPpy/MrA42S+JQUeAyS5nePyq5hFlAcrm9oA5fVEqQNSFHxajKPjb4jF+o/HJeDwgLFQI0Ku
8gPxVvgMUQhEv6AhiocFU06RqLrz9VEElB/vpnAj749GTf/OYTL/cVW0OoeN5i2TdCTD/Nez3hdn
yDn5zy0DVIn5NE1fHCLtgsaeMfSATU7/LZ0yEvhcOHQSPG6uSdYNQ+yuZi/EyROoDGLZj6M/2GQb
ckDKRjgwSY3+iiLs0ga8NUorBr5rlg+i2NXGN/8xCqAh07MfxIRaKK3OHkqJFyVb4DpBMUQATin1
zzTa4tMfsTwQhQSp6+YL731s+dyMbd+34kh+PZLWPFTLF7R21Z0Qz4UPWM/L9XEbkJ6cWOYhGIfB
3kZclIP9je8McAyfQn5pbLwkCCGduiY51lucPQZWTJnREIqrA/pWH+otxmpI4AAaP98R7r92c6KP
0bTjAzwtELkSanobeI8b3vKwuWKGQeymRlxSVXOribdXWT7OPenHh7XPfY6S3KC0LxB3X6yAG2fX
qsA8Tv3UfonS8X/WtpPXbcUPAF3maxg9TI8/zXjzLLCXwpYKv7cOZTTYL5ucQBldT230bo6+2dAr
Eh235xdkt0UysT3xVpv/UDxmATAmTBS1dW14YgAgN0FpCzeS1St0iDX6kF3ReW7wSbQaQGuVBzSm
+Cou1pM3bO50nmupLiqwSUfOLRX5J7hv3RCfXLCeddre+t+BtbrOGTk5vDvBBg3iJQRzPVIQHvxk
jtRyx5ZXxheHFam/n5AgPxcIoDLMXU0zHjPBbLsXNgF8SVVN67033yAYp5rjaDf3vs9/xIqU/FMS
VpIdAcZ5zIV0LPNCCJGvUz+r4mthWTfALQurx8Ca1T8bEYnN/72MrnYh8j9sAvGWRHNWh2eKBVR9
bWvQ7Ben7KzyTBZyue0yFP0IXKlLBiLC5hJVVSufqB2sKH+sZv2nicmL3/lKwSLOTlCL/ZA7E+Z7
3OYPmECxK7JW+pi1w3m5w2MJ9x4xeLhJ6zYjktSRytTnXjb+snOdRQZcmiv3TduP052b9eW3KwZf
f0bF4vxd4IVUtbObLlN7vEfFgwDeqo8UScSo+qKOqr6Bg/oRMYbn/sf71GTXptDuA+dkweGsg3m4
0xwIGBpr/j7nrgZa8y4yzMvqHMAJPs7FMP2NUCN92+ySL4OBEd4vW9X/Fn2ZT/vCH9T8ohB87wps
t7j2O6JblRgjkjzdNT/ZuplhPXNT7Es30/kuQlGdH7zMF80ZzJWk/TqLOX35/enX66GB38a4t4fH
mqq3a8Szs8JbdWAN2US15nEEBCYhipb11EFRjydPCKze8034iBI9flMCH28SzlH3J58K/8ZBV+WQ
6LCKvTSGRS4TP5D5X62gZFBPgH0msQ1dseNSWV51FfJ+lRV2zMTiXDPnrMqm3wHz6lPu1JrpwXfn
78Ax86+lyjAYYujzDjEWrT+VKftmh3jMOtmql3+FGVjIpaeGBDbLXXY36bK3KyCxp0Pml4XeOQyA
v1E86b9WUNFRkZPggFGkil4aanCyqytn90qKyeKdczF1kCuQts2FVKDxRflRu+0w7mFIaYkSya5s
T0huogbCP1khHqhKd8PRYw/SwSekXFycHB57rkAZNe/ASP10lyPPqw/hijr/QDwCBSuoiL1UZxSA
cku5atrhdhD+qR0iGryZx5GjI9nP3bSqbmq1W1tcc0fe3DQfZDx4MLiq1s8NLCTQkFMJZP1LFmz3
qmKEZp4ZQ++sOjfWTC2uzA5rAFCxnyPy7AuQa/ZiOAjEcVnTpRK774SxfFhxea6udZ5nBpT9PEBP
JTb4CIqCVRcETUyzZtsiGMlch+kmCHddbhtaT/oIOVWGDQx9ZvW4BQFcllcthuSZeYr8u6bxt4Of
Y3NN7DquoFSmxfyZ577+lfVqbS71qtbHXmbjA3MwZKXnuyuyyd7v7jJ0o1israxnCPes8dHF6e/i
qwqma690vL3j/t8eIntoC1Z/F+U0w6wBcNsERnJeiZclIvfoYFE81D/wqYiIdBdOoUsluO2PwdCQ
ymtBNTLpkmTV77u6K+E/wqX5Zk32FbWMZJkQt9Wp36bOouvmcNInzLTNe+dVzf1khVTm5jXppCxg
Ag8b+M6ZGRfxktS6FhgKbHEgb5+VZqFRAMY6irrtu9U+gol2C7rdUGbZAzEmQ34HShgUVWoaO+Yv
6qZ3S+bBpcXfzQcKe3Zc6tWf9j36QUqQQUrB5MvIbb7d2V+L61jhdZsSq/QX/VETrPJf03kIx6zB
WVzs7E79OE9+sCRKezo6MM0x91CFw9lCEGEHUyZXJIlw806+b6bMvmonvLmE8PhVaOktDwVCazUi
kT7KEhp7XB+AluoJhpB2WYNddENgwGT8DOscFvUt6RAhDQ8Wkd3bYyuj8KsdWg95PrOB2W9Ei9of
XG6tuCybJLbEDzl3k2LRBmfYElpIIYJqu4QSKkYlZCcP1qHtGAZ3g91xeCvknKmNrT9PY5SLOIe5
FtOlFNMDUDml0UXHSHcwEotqGitn8a7QTmImkSCn+BE0wHxn4Tjkb4hGi57clwHFyaA7MoUExBa+
fjkaTLd4B4unMXPbFxREE1ZY1kCREtMR/+fPo5DnSBfTd7Osxf0oppAon7YJHmmrCNy/VLuw+eO6
j4KkhdgYSco3BftAIfEcmmkNKRqL5puBbM3D55DGG5RsrtWCgbpj3z83EuM8P0zhGBPhUvZ7UXb+
S3ZzwTJs236zZ331MSb3qDIwLxXafkZXgSpusnP9cLMcnZcGlQeoSgO4QTMlzqYuLruerVtF5ZGJ
CUuDF66vYZtP6s+aY/6aplg0T6v2C3UussKofxSmolFenbF4G7rYflAYTXFoQlb3J0S60T2idjqr
dOdicIjB1sCCspjXv0E/+IwEgOmmdpe6O5WzVf01ERaSxFuD9ReAuP9sRrN8lVChn4tlOerdi7vp
POmgwJHFLgxM06qGeSCqfxxKCP7ZsDlZMmxj/yr5/W74CDzwThb4FNnKSvt3r6PM9ZLNN4I3teKP
nyDPWprSwOV1gHyfiQkiN6fQsSI8A24CTGPv5CF6JOS7wwEPkX3Jt9Ap9ZHTwxQXDhU7SAvkzOHe
RVHI/Wl72xfqomnblV0sxEVKwMjU981y7Rpusr10Zd6RUOVq7zWsu8JchMrGvxoOBFcU0SrvN29r
SahCuTxwNjJ5RSXX9MEUDQC06dnbyd1AcbFHd1U0fwqr5fQdKc2Kz7eOq+diJXHx5PAa5Um+yunB
GuOVfHRCGFg3gp4doO/MSD+NuplIYQdmTJxOjKe+9rX6R/5WWyZNLINh7ynXctIKuwCwgD1nAGFu
mN8NyL8+I6gN6IGycEzqD1ER73JSU8q0ktXypFXvfVjNuvW/Bo8HhoeWAwB9aNuMb6zy1fgRhYjU
McNuw5tFYM8HoM/Nxd8V+inLJX8NhOl4R0ZHZ6d49dHqxGoIXmO6fJp0LquN+4E1H2UkFgRBa4kt
HmNnMFjBF3S/EwxCqfs7P/IEmg0nH568jP7Vg0NaxUcEG/2Xj9sLTn622azuPQ7Wg23kEp4Q21YX
JysynXp94ACfAROQDjWg+6UYpoBKzlmAxX1cLyzGkxb8Z9eQQsdrp9f5Tud511/mMovg0gSBMSlw
kgAkAYPADMs/ASyCrdcHHAH4haaeCLkUM8iIn0va27xjliXEo1hdXr51yjN/J/sCqe5ocsQAgKoM
r21jNlQDOp+c/YIz6Ijuogv3FqY+xgPwPnuH1dJtkk352Mo97drPXZ/hyebE1HtcsIWVjiNqhbTs
t83FUSQqc5rnkOOmqnVe/dewZQ2k7zhukEzr3H4W6xbrEyo/P0zsoct/leGUv03Y4WExg3gIiMFX
5i+gFZ+XKGT/2de2DU+EvYTuE680dxD08AODWUnjcr2lEEdcht1/coxHttxCrFkylgoHSIZndD2M
hH8/bz4fJvRvzrpXgF5+hKFn0YiolZPzLivxnoV8F5eaFs255qyzUUrSe8uC2cZWcBGYhdtLWUck
EiiG+/7IEl+9rj1HfpojaRsSlpap2Ec4++dDrchgSURJLNzOK+LsdWzsynl0dBOeEQeMZUrsTn4g
t1rWp1UVQ3lFg8cl1yNstS8xqbY6gUgbsGvEpAeiUQqPkJPG3DlErTmpMJP+1c9+/MvBU+0fDG/P
zQOvrSOB011+5Bm9nfyjZTi5x1YeIHlHxESLG30QFo3qsF8s9EyTz4sZj65/nLsR+UZduo04Trof
w92Mw/RwY2+xveBGvQGWPsgofke7PSzDLF4so9GAlL4aaurvuvFzJcgr2tVIh18QpkM+ZRiQUaav
Ptr3sXWDhnyUAknzYgwWHwviBOkWsvm/QoUcyJvno3vLkWJ+YzlaiGm7CQyLzumqZCCd7Xvisn1b
9Eb+AKIkt3uc+YEPzoanYk+ghpXzw+v+tGKjsq7Atl6YLjjTZ+S6MjhnmFbHXa0KQFTOkJmWSxix
22ncifKpqVzA0A7GKnHgH7PrvI6Uhow1HSa3zBzP/9cTLf8gusHMUPQk6qCjo4LMSXA0R3Za0gf9
zDc41RAcSn/FcRn8bhH5RJfIyyr75MT2GjNKu66685ZxC3nvAvcPlq/onatfOvsRFSgbcOnEX46x
nFcCA9iIe1p4bvrGkie8bL7jrt/ctCFiZrxsWe7kR4Dt+F8bksV+djw7jx8ygHkrnb2x3fadh13h
jiAKr2QzcJmNGz2Zj41a2iIxltCYmq3CQdQiAuZ4iS5jOjthM/AixXWzHDyNsWDX5iD++zAg6YP4
vc1jvMozK3olvQFDRpijyD1swI0AfcHinx1g4RZyxieMLSBa8TKKnF2ZDDKyD5alBzpwbV9wmCBi
pIR0qXw46hHsu0A6fPUEZnciYV1C4ypYJHL8XGv5S+pK9uaFlipPOMzcLwgksjmZ22aSOEfX3a/g
cU4air7XcF8BhmI5STLoCrwz3Oo2JdZpMN2SqBETMwlGaMBVQgyw+vGxfOlLFDC0pVXDELAnBjq6
hfoVeDd5uWKAADJJxjemML4lPS/LtvPXyKk+7S7sF4RsLSEpebE1T16cV+AcjMc85mAFzQsxnRr8
cvPBFyRnw2+rRod+QjLbEy/ZRICMgqEVbbZywwz/MXXgKGAcPurH2kBXnBlRavfMhrXIC0Ieu8ci
OEnSR4O6EHh9BWEKGLWhBLem407nxNi2a1SPCv9Is9XiATst9QuA0uFn1EHT/bJIhhH7FSyPH2gh
9SLsYmuxS3l1tR1DXKvgZ2OZd18xUshLg6FrvUP6Zm9Hb8ZLfJwENRyPcKzZ46hD+WWroS9fEIaj
ZeQZXIEtcR+zXnSevab2OAXRHw8aoLrgoiurXU+MPU1AfIEa06eLPOzW3mddCjez3+VaWOFJjkv1
y9YDsQeT1jPWApnjHRKirK98MNNT3Gtd7rmIdPNV9Uw/+94qt+44BuV6j8acAPLVMeHvQiI5XHi/
eW1z0xfIYqN8eVQ3xSWolHixiazCAux61aGDAaD0HBt996Io41oOeAvkeCdjb4kOttWo42azGuHb
tTtiKvg2ro7TTl1KRloc7qfKn8RhIk4VDX8QI87QrF/qPHvCfBIG2kJbeFxIJ7WQxb6fezaeU0VQ
xH6t4kE/xsGgfgflJj8EMYIsR062/lq3qtJ37oLEbs+AI9x97qJp3uXLlme7QawoMwtCmng3cvRb
oM0O7BEbIpz/IlykhY3K04JIoe26ECo0HnWcSz/l85MTft984WHVRr3UVjVbb0iOe+6hKtyiu6is
3GyPIpkJGhMS25Mzz6o+sdxJc99bXf9kL1477adhnkqUC1UR7B3SMH9L1FrlIerjYTxCuBQXsuzY
xJbWRfkBcdJwG25WNe3HuGvvPE+3Ptky0VYf+2xxeYsDlL0sJFYz/h3iBUVWG5ALiC09FscNiWOR
sGi4LJqb03gEQspBfyxcTEhAHIuOSkxDCkYNnH7BeeVXDVEY0dgmyFy95YnJ0G1TciIBdymrCy5u
hej7PBk9l+eW7wLoADlse4c6dJ4pDou9eymmPHicBxnL+3kpFwhq2S9HJKXl92xZkX2os4ovzXE3
9wyiRgCUG6rbC95bwY8qpm55gA+OzKGvmz6+LBbuQAiFGWM4dNuQ752l1IRj9b79bulgBB3ZwoEZ
IFoBgMjSqbCShqXAwRA0N9+aJexUDMomQ3CDoQSNc3PnsW/jfCa7LIyCfUvWN0fCwPx1cFpwJFKM
COvbPGv+RsER/Eht8GSLpsKK7Gm93uOFK74ZRdrmZoUfdvG8oAm8neU7lqAFprZY8hdtKjBfBB2g
hLaxPSqCMmX+kWFWflWbglTKmPyOEeBAcYeDrI93GkXauG/roR5fy1mz5g2Flz3LztHfOHZIsulw
yy976fR+hgNwA+1whEMbQwQCGpPvQOn7XnBocBFheXgvmk6LS5br8X1T2/ZKsAaZDMzl/zBQ0evG
ct23BDP08cnrUXQR4LOtv2zZBTeBw4pKMOTpeu69ojqVVpg/sUBBSoUDZvpLHfRsTLckMp0SGUa0
gm8cq0rEMDnRuaWf6HvsZmyTrsFqTzxth59JAEusJxuHQvve1mTSHhpvy/4GchnGi+LdPeJgzobr
Mij5A8rY2wjOBv8aIN0YiCTFl/ITTzioQPdQ//L+5ozgk2i8bk9QnY4T42XNMa7i3KQ477v6slRV
7UAEbi5YboB7ASVNKx/IL8vrB4JrOIr1JIliCD1g4F1Xszze1tkpuwgbsnFvu1uk97aJibClWniV
iU/ELJpNHO/Dg+ZN++ObePjuIp3dEQZE1TIOMjQifds5tyx5dhym/FBu+00UzjNR0MihTFy3zygm
oL17vuZTTzwYpD7b4h8bTbzcIe0l25k0WRLYt6x15N6SXvjDl2WcVBHDXZz9cnGBcVqiEdMsqGVw
5aob8yMZRX5xxFnJV8C/OZ0Epe7cTIEX9XcU2nFjRNhLeAR7JT4KZhRzym2SrB2lrH+BncnttKmx
dA9LNW765rBpnlHBgs/yGTX/lPHBKAM5bD9NQ/TePZEuxjsUkz38R5Z98Y/NZnkokTs++7PGCqhq
p32XwvHeOPTih3JsBsrmh3Xc51YssM03/q/Bnd2PnEHyPdi2eU5yshEGFratsvYA6eosUTqhkitt
n+vcBk7cSZYNnO5C4AQY2pGU5szPgkd6vwaLI7Qa/2NzhtGs59L5W6Lb/DONXvRptxOlEbeyzIi1
Ow9ea3dELKW9GofpKsP5SmZW6KU1EIW2P6HJmuysdS7mfQMe5qcVhmZzAP6yXres3P64tjFm52VD
8Al0zmMexrd1iTBa87SSbUCsASEu0OFIlB79/NYRzxDjMiopp3ywOjSaSTzket7HVlgDqcEP7XpT
ihGSHVYCCas7//PXqn6iYzFD+cwVRnpV5veI6bKwrNMgmpfqjnxO+22YmAusqc7qFCsGmKYt4N7m
IFJWmsVUez2ILXZI4uwD+zPE+/CMoqcoUolEVaDpFIh+BS7sEywJ1n7VWeKDzqPI2VnMgAdQTvKJ
xnoigIRm2aU4KG48tATo81IcU6ba4xMD4Awa4tlekODb+OdIGMGR1tIMbC03ekJB/GK/qPEczZvr
DMcCqcEtJaCvWbxKeOGkD+ALyaYYGgTsvT+/UT3hD38GbyXkEcmO5R5rZzF0kIJMeijG27B5H0Pi
tNA587OfTdjf4nQbfqO1M8M3vVtCQOZR3XlhltJ31Tw4hG4sc/tvpb31zgWtAd6HNL/3pNuOB7HG
qK0lL6x3B364VbvAa2NOXY8b+8FZkVHst4bOoUNbj+KD3aBuUpvu+iqBbOIuLdeNWL+uMgMBMkyA
86ERG2N35gltbnxzXu6CGZfDzq/cG/VrBdnbGq71z6CY0n8oRkPLTjqpM16bjtCbhOA/YvKnDmYx
8atNh3ul+JPgHQBRkqL0g7e5aDUchHDB+ysAdzLnQXm+15AKTxIbZT/vSgywU0JCWRekTDDhvwbd
39Wsvf1zExvliTOxE3D6gEMkI4mDNx8SMn5iYtf41WnyST7NlhiLa9m3IeY+jP28jgYjbKd1hVXK
5MOx0TaOu9CPa/ZP63+cndmO3LiWrl+l0dclHEmURKnRfS5ijsx02i7PvhHKLlvzPOvp+6MPDuBQ
BEJIb9SFgQ0kgxS5uLjWP8zzt4jiDoJ4RW0cisBpLYo7rgVmsEVc+ZVfoa2zsUcUCU6DtKltwVHT
643fava7CAnhf1sHnWRkXbzhdeLVfrC1RUOE9SPO78EOgS8c0tqe7M0kyuIZBV56+hqaLWjKjvon
pxHNtxZVclA2Jmno0XV6/UeMp1H6zG1bPENwCkmLfN3o9lrt64CnU0iLTCCIqYSi3P3gDm38HkkU
elTI6NUfSqtq0eif4v47ql1Vsektqf+orUL3d0hR0OFABc1906ZOSHZAtEXfrrLinx5HEEVgs4/p
RFmD8zSQAMNbCjv5PUPWtkeDCj2dTcpTUG5QZiII5Kk+DLDwazh2Hq3YhxkjwpGn16gnG/R6nH+d
Bth3E9e1vzVTn9ujELV8BSId0gvoJO8TOPPwZCKkjrVnNkBPjm1Euvd8D2AiiJi3gHhGV6rWWwgC
wxBVkr/Ws9L8XoATKM8eIpIZuuWN/i/mHprYTkEuoJHmThsfdRDsz5Y7Zu3RM/2536Y1/c79hJ2O
fgSJNz077thBZRkDY9zhV1j+kwZB9MUH3PjBwhce8bex5jD96yWhnh3Rg+qajZPpgQ4Ap+veRlhG
+Ke4TpLoDP6BnBrgXXt2rcJAWApI+acxj9xPLkr75C99PwKFyXqUp425/yfKBNn63DYg+lKLJycg
Sfv97FqSsiZSXVATbXpUNGcwt3xNcdz+oHkp/GAtsVLEmF2q3R2qBg74iax2wBhTd1JpQAFC/Z3d
zgTFsoR9Rwe06ZuD0+f2ly7AqniL97N478yADDFQCPR9TO8a9AZ6Gyb9aIvXKWcotNEghXyxA6Is
IWKWcAYpbXiVRs9VB81m9cjgboKM0LoLKYTtBzSbcAKt6d5vewkQ/BlsSIuGGd0h1K51iBFmtGUs
r9rr3ZCk7wPUR3ykr0cakuApvX6PBi9cBN9JRvAweDlnJy7kKNhRDrHSkxAg7Pal2YtvNo32/All
f5LrrNaUwFVbIL4eWzhDsM808dmoA+e9L1piFy+T13bYlN9FZswp0CVobzshwXjsQPOQqsJsLJ5G
XFM+ZlMWfeuKWsvh/bvWh6yZetQz4GRToghK4zOa9OnfKbj2fI9dOp2wSncw0PEow//MiakT6Lci
dBFW7HFJl3YGnLWR7vgh67vxczUDfNfcOAGO3Mz9Yx2NVJmFpUfo4oL1/pCCyTMfR/wI4IiRWymJ
AShXRwyZ6jdGb7IxBuB176dSFMYjbdGIlyJsn2cEGwewVeiMQ8dwQHVqB8BGaEy1UhjvkKILzK+2
01A1HzD+eg6J3t8tIzCngxMjVP1Kg2lCtXjy3Jiwito7lcBMuG+sNISK0EHmqPazGUKxjMNJTLsA
OOaZm6RLESctQFE3mmX/3WV2xw2WcimV8Em7TWRWWkIe6dQPTh953i7OQ0lyglqM2Mux7b/OchIf
jXDKzV1Dh1Zu9b5y2c6BFbqo5kYT9eMcgo0AgpQ9TrYudIornt9+CQeo3E/kKdMDXGazPdSCqn5A
KIBuTysfbXCovcUbcKA8Tenlhh/6QRLGvC4Q8Y6GkEtp3qfWseMplXzW0P6otshXTvKAbVjyOQ8b
Z0SIRhsf/qp4kPAKos8kU5vbRS8Q7ejrCkHzv6rQG4YqTzGhcUWmP9XYiXwTRhhTAs50uie9D08B
me5KfA9aCKhQ0oCyoVkwBH+XNj0dDF1iynx5hl4D5Re9BfTSoRH4leJ4576p6jDvXtHWNsndizrw
3xvdqM87M5qtM7yjKIN1U4X55i9vEGLKyel24GziRzoLHhribO/k8JdRUqkoKQzuQuk7/9Kyaz/k
Io5U4gQkS4el/OmveYbYqPcCJrDTmD7prA5wUQPpSg2kzJzDXxApW0+XfrovHDMUW51L80FP8N85
xeCZpxXzOOX4tDT4UaZq/BWJubun7IZ+sxNqgDwmelnx6igQfUcbJcO4BFZLhCZFO4rT2AXp0wzo
7uvkJ9O5tdp4xST1lqGRRUecTN6ydM9Y2B0OJDSSQKdoMBCUeH6NOx1DgQ0FPe+PhkLQ2RHgTjx3
YQUYxFONbxDvJ82k74o240+ta+tnXhrjijXl1bISMcCiW7rg9WOztJfLOmAPWqC05WyjWoseh7kz
j1ynw9bScIuwM/FP7QzInmO78djY3ff//I//83//+/v4X8GP4s3/+3r/kXfZmyKikPg//3nl0kcz
jiENaek2yaK+cDqrwj5IYOfjKJHX8bnUIxzTEfA4NEELb9DqQ5R5knR/f9Crz/hrUGat68DscG2/
nPE8lUMb2pmDalVXftQFctl5WWmvEcmPXuqtyMQ82xIuZqYmJmaLz0jjbGxxPYB2VpbNIZdevoPA
2u5GH2ull87KMqiqGLa00Ct09IXTl+WbfYkyPhKU0nlXe3H6ahTVTyvrs+eXD8Rr0vJsadBM1RfO
bKnh2MCd0BBAPbfZjNQEXpvE1wP9cDib98e6coFjMpaLGaSH254LgffyU8G7xYYl86ytRIMUhenJ
3CSioGUBdniDTUa/uz+e+nsXMUaN56nPRYQxYdBdjheXbYD8GePVYPSPKEFqe6ubs7f3R7kxK/w9
TY82hU5xY2lvnFXBzL3uknLiSbb1i9g7QCNFL7fVkUQRg/Pu/njXGx7BbQnj1zMlPaHlETc02LGZ
DjIv1btma9oOjd0K0SJrcOeP94e6MTU4l6bNfpesobX4YL0qDmQRJhRznjof4rKj5SBL62ebGBRc
iyx8aZyUltBNEH4UCDhgppr6b5eChksAVyXYOg2J3tMcFOTkoKu23ONrrow3VpFtgY8dwk0WnJnF
AUP5oFV0BmRoUAc9YfPCCaA+s4XR1r3Ui5BZgQ8jTvGfx86/nJXpw1eBWaTOslVtNDPSzz6wwlqL
rZUAdet7ETOIhQBwif6L71WaTVWMIVOpwTTA2+WJPQRjfAztAR22uYoP9/fHzUWkb2o5Dt7X+tIx
GAeQIe09tmKe5+5xHESwszARO7ZN/PMPRjI9gQCJq0tu7cs1hPqPo46ELp7UdOfnLvD3dSH6fTwG
9Z9MSkCy1FlCxxaLoXw3qiM/Gi3oPJTu+FfwJvZlvsPVJFyxjry+rdkZiH3SWQO2KJ3F3QXAHACO
j9AwCjk5EOcBLZ1DQGbuKRx3+XOoa5B8ranRB7GsqnuEy+T3f7I9Xd31LMN1hWsstmfB8z2vR9Qf
TF+rcEaCg065sj7p7hCvBORff2sRkQWNZfiROv1fDMwvP6MeZG1BS0xs8zkPP2s1PZxNO2J4VAI7
e62HafImqmvrkfZY84Q7nv6aK3fe02x3z8By5I8pKfsfgLVzlxc+OC36+8kpjgzKuxqkmJULS039
3s9dfB9NA7yaOK7YJnQsgjykB+uPGCJgf7FHxF3fZlMboUCMfMj97f4r+bw3snm5UOilQHwZGLlB
0hHIA3pzmfvaoXS2rQynf/QUKIAywU+/FvWTHmXhqer8lV9x63gT/Plejgpc7iIcQymyYgHSB/4f
ipN+hPJ4AwngjHR4tTKUOlRX80VWgRMOONhxFoeOokvcQeiztn771Qa+eaQtk9PYRV22RFro/ure
Gkwod1GwHpAizEXO45VJaylVXBqPeWBsC8MqnzQZ10d7GFOq8RZctJX5GbfW0qVmQEZiOtJcehp7
MK/JIjDiRNalQfEXhwJw2X55lqTr5wkPMOAopnNARHB4U3JT0OPCKWBPcST+oJme8ziBBa92sGr0
Q0W5/Hh/TdTVsPgAUI0NRFVcqn1cIZcbLlfLXyCsBUIOuqVbgcK3aL7t749yYxW4ljwSWi4oU9cX
29qfR/qviCFsm0lHaNdCNkXa5gZG/nS4P9KN0Er4NrjYTVZcOIu9mw6iB3lH7kd/qD7PYe6fS/o7
Wwoqqgnh5Me+MUIUIj3tCT+R+uVBlYSaWIefNgHiyoZ9hA8aDaG99bRCe9s6OowLfSqLJ4jY6ef7
U72xnW18ji1eCmwsY/mUBi0JM7hiLBPA8Kks4m6rsPkYsiDATmtDG1bW9sZXdLgZ+YTYdNv08y73
CtY6SHzaFPXBrjUP1ZCgCFi27lNtut7KUOpPLbYlQ3mGSVrDy3np44x3T4NdkM+TIZU0gdIm6hAu
jUKkwbFa2w+Wbr7CL0tbiRA3Z+iarmODurFtQ52W3xJRAJ11jGYTOmlQMQ5UOsGRlCilw/UoTi/+
evQmUCnnDLsSEdLLoRwNhXlIpyS5s6+/s6oypnMABvkE1zLxNojgVuZKMLo5O8/hVcmdb0h3MTtb
tAYxkA2jB0Fb7TWkxl6hd2LHuwjC+cufK6win9BxHVOQAV/Or+XhBKiApURvxQFrRJ4jMe3e1yUo
z/tLeWteRC7XMy38YaVYzCtBXLsAi2xvoaHZ2A6hSaylmNZ2wA9XNsivTGW5MTkBPB4o6cAAXUwL
Br/udB3TwvpJ0iPCHjvexRONZtC3cKLSwcsHnmjT8KOugb9j7lM/zJ1BXv7ySTtcY3TOiae2vbjM
mhSbKEkna4sBrzx1UKIOo9d86AZYsn8wkuchkAW4h4tCxaHfDgUPNxxL+QUkiiYOA/DF0D4yQb5i
kbeyvLeOvVRPM2zWaPq6i3uiGWvwWQ1YihLA7xmBRlps2Fntaho4DyhJa2e4iu4fnESeFhByCdqU
J8Tl/LwSoVZ6c81WeF6JMAgYjCx0jC+TlZ2yrDI/31/Om3OkdyQtsisELhcfroDq4JoTQk5+VHRv
ZWTFW0x55hMSG8kTtEE8KBAvfPkLkbAtFK7KIKNzFnOc0aQDXIeWewpQ1dgXo5UBEmyl+ewx9jc7
CqMvL5+mK132JjvUIdBdrirSaJY/IuyxdSa7+TDOKI/XBVjWGIvSj0Popk/doE3/3h/0ViSguIzE
qMdLzrIXkUCvc1lZA9IJEGTGXTFp09ZJNXgCtIqPLx6KkiflGAqCqv6zWFEctxX1jAYCfGBjF1Ko
fKKsnBzSyu9XLsMbs6JWDvlJlzwXSW8ulxIbPeAlfdNswbt+gS7cbus4dQ5zhCTi/Umpv7SIbvD+
2JSkThRi9MVHG3Xfb5LS4CiAKXmucbEeIX/mmHbeH0dFyatxBO9fCHRUSOxFFHVllScxWrdbzfOK
MzZDCcTDHImC2ZEfRA9WoeQSxBBBJt/uj6yC1XJkqTsASmiUOdRnLtfSrfPODqRotoFuD+9s1uAt
UL9514D12lVTrq3UWW+cdkmFgLo4lS3hLoMnHnCZi14P2wQVxmNkevJno0HwjLg3EDPBqjKl5Pv6
xZMkXCMFI4TQdZ4Pl5NEBhkBfzDa295DqK5AMeK1Q1f6gDYk+ia8I1c+561bkauQrekKm+MnF3Hb
S4eJNmmDyFqXJN/sMJPfVXT/pkvonbCnarTajXAMITHNMD5AcQXvM+qOzu7+xK9X25aORx4hyK1w
GV+cFJgcSDlFlEd1RzPfYqCY/qQRgRsqxINHZBNsuZmg2Fgrx+Z6U9mSE8r84YQg4KAO8G83pIPW
cORisISXIe5jSa5kTbCcPENm+cEmjFZmeXM4w8WayfIMj/vycrgWj0DIS4CblB7ge/A71rlO4ciP
2ghBOyyQnLu/rDcGVCuK5xeEeIM5Xg7oOkqhuBgaCEAabclYZO27ubOcc2z7A2aaRbsywxvfEXM3
xpRcISSriztSVH2UkVrBBfWy5hSJEiV7bB52mu8npzDU/POsaebKqbkOSlTyCeU8bHi78ai6nCVl
2YLmEUcVfw9QTfWI4WBCsiONsvzXCavq37ht8BKAYbRyfq4DvBrZISngFe4Au7oc2UJlaKorm7sS
LdM9rWd5roVrPqH5U6w0Cm98Suq2hqAWRwGXIHg5lOabcRlaFhCHEv3GepzmPTxrQM5z+a7wcfW+
v3NuzowvSDUJVJ1lLy6UJJOhNkdATuA854eC5BF4v68dkNFJVxbx1uczKOt4jkezSZeLTRqbI9yO
TGnJzFAA+1oL9hYaPKh9i4/0fM0j4kbKMmHUVroXKqhcXimkVgzpemSQrOhisybDhEtRVrdQP6gq
aTgWHSLKHStH4vrD8eqgaMy+JNRcncHeQJ8EJni7bZoYeR3IADsEacoDqp2oD+ESs7KchtoJy2lJ
9SSj32SSGC+OQ62XCCa3ogXpbCsxUC0+Tllo7QNp9zDGodEc9bKBJODo2amqMmRLI6/dt30gkPgY
qlc6Amsf7m+n62/soOUHEMek38wNsthOIK4D+Hd843Gwc9QXa1m8TbVEfkUzyPnUtnAxT/EoUMwG
vw248v7oNz6Bx+uShI//wddYhHlPOiPMXLALWjN/DZBCpt2C4fQElYkQeLg/mNo1l8tPFDJoznJu
bEFecHlQlUEu4og4VehAuk+YcyG4I+fh5GfY51JOk+ciyBCW7No23tsAEF5eBZYcIsbnVziIsy/O
U0phVEfsqdu6Sfwvb6HmFW7tPqKyifX2/lSvDxAjkZBBIuXuZr6XU+0U8SCxwduYYw7nuArbY0ST
c2VD3xiFDIy3pUoN6EQsvh7eQhDa0R/fmi5c3QkjoAekBfv9/bmov7L4bKrwqGYDrYXtcjmXAv1a
VKVHpFqVtNcUiv7sGPFnMczz8Q9GcsjwBI86amWLTLZHwAzWytBvh8CZkKmJPSRr/LN0+35lpBtb
kYI5zw8DwWra6cvvE7o41DhKRgbubrMpu84+WKM5vDJMivSbTDTJ+2yCrtfIvvrUDM7Ly8cI0YEY
MkElOLQ3F8cerV6KOhkoKgVWfKIHPu+LAYnKRB+tP/h+v5AK3q+vt+wCIgfTd7IzB5R5KthRCRwy
yO/xG4QP19oRatmWW0UyI4Ve0dGWXmxI18evypggWVZiFu+Qvis/lZpjfjI1YL2bvnW9XVbkxYtv
K+x5Aa7xlDQomC0/Jso945gGVr8dQU8+4rFU7ozBs1cO261jgNcdxT8FIqB7e3kMhgmPaN1CrR2i
IRKhs0C2Vcz1Flu/l5enmAovScIH3VTKgJdDGSZEZbDVYJ0k7iUSvdY9pnj2JhDIs7z8yKkqikIO
0Pa2F0fOrBv8gXrRbyu/mY6zh0h2aHvykPbjt/sj3QpWdN+4ZRSmio705aScVmTenGK8UdVld27r
xtnmLgD/+6Pc+krcp8KGUotApr0IVqXwKfrFUC4rFwcRBPpRha7t6jS3Rb9yd14NxSRIqnkI4/cF
rGSRJM1ILjVOh82rbvfyiFPKdKqGjuoC5KP9/VldnSs1FCvnUB4l0bUWF5eGpzd0IpSPkjwLTqCe
A9SI2vAN9mzNF6+3YKLGmHcUKzO8MaxDkovTEK0DbplllKR/zT4oscXkBiCpbj/joGgc0ywxf6C+
6hboQdnVyjm72ie8F34fdLH5baRxsiAcESuJLJPcc2oPUzT0p/sreuPj0bnzmJwAMqNfQY8iHj+4
M9KTRX7zAawy+pwSVzcg39bKEbvK8NSEgErSnmUZAUhcbnwfMEkkxkTZc6YjBm0IvFoCLR7gCtqx
7E3nKxlY8m6UzcqJu7rkFgMvdg16LgDprXDettB2DrwAETKKbMiZxhyXD2iuhzv0vODcY0H8RCM5
WzmLN7cP9wBnno4J5ejLiSO1N7e1h+GJHmJFtYl0xC13QZjmTz6iADGkjApVkAlli/P9j3t7YGEj
QUXXjFzzcuBaGgix4rdFVy/pP6L4Uf1jYkZ0hPwid5Uu52OCFeTLz6jqiVMC5OYD+LVY7aHUPCP3
CzVbIPtbilVN9tS1eT58n/tce9OHTaxRti3q7/dne+PA8Hzi6cs6ewI43eVsnWK2qgn1my2CC9oM
f6QDD49vsXz/8nFINwWJpgd4dNlr46YwK7eGMe1QgFK+OlPtP4YhTJWVz3drQkRVahYcOWwYFxOK
2llaqZ/oShkZC9cCF4a56df6sTcigPx9lMWxDBOU2pH60LcIgLRH6fhouYeeUiCSLy6GAPQiTacx
Ah2TrszipkBIqsr60ARk4xTml1CbjLdmJ2lxgR/a3f9IN7a+JJ/Fu95RveYlbg67HNfLU1/fIv6G
5h7KlWiDD9O57nX3FOCvu+mRaF/5YDciHKkKWjcqMwIUskgidBlKDastA7W5rP5OzeUfdBHn54GY
8Ai1Jd/Zs3KY8yTS8vene+sjOqq2RR2BIv9yq2B5F7RZwi7pMmc6QkTHjjGG12cisfPye0mSsCsA
JJn7FTjWo8FTB9B6oCc1xbHQi2onKSesxMxbE6JMCGRPwld0l+3CcKjdbqrxckNFqjp4s6zObVVY
JwyCxUsLWexKVQZROE7Jk3gRnr0Rzzh8vsxtrQoPRdhNB6y/piMkxrXi581ZSWKHTpJu84a8DFF0
Z8pg0phVqHXluQiH4IQCOiI+aTX/yQJy8VFMpB5If+JyqCQCmJ/J1Nw2mGKe4StY5xL7lAeHbZKv
7L5bh40vRUA0yc1oZV2OhW1C3LYOKyhE/SOBl3iKWuhxCfa4uxa3iM3Uz8Xx/o5X18jFE4uvxiPn
V52cIsoSGVCCaw/ykWg/ea2+nY0qiXdTNWQ5ZHlMGFGgzp/uj3jdCvk1JNAf2yCmQIy9nKZdOLgB
TB7xOPa6aJNGv/SuR884JGgno1VH8YHw5h6i0EaADmKhcfALHV7Z/R9yK8wwbx7toLvoyizCaCIN
TKLCCJhb7JpvtNaH6AiVcjhSPxu+50Vrw1VCk75varGGersem2NPXMXFj/o9xaPLNSi1wBn7ycer
q4irXWdZI/09CKjeATJSs6uscNi3WaPt70/5+ipkWNtgH1sKerV82sLMp5Cl7nOM1a29nGL/VYLc
3en+KNfHUw0AqJu3MxeEvpxc4s4TLnIjkFnfPgsR4KSFrsthLKtPLx5JWkQA9YomNVvmEJiiU5Ub
pQkdUZh7L5nD4+B61dGYB2dlUteHk6a5wue6DsCLKyxZ4ES2ljcRCHwPTXWRF0iH6xr6U7nrH8C9
ahuJ/vdKRLg+nfSYwX7ywuX5Sd/jcpt0EtZ2Z4PVg6AZnawKY9saj7nT2EKxbSLgwi9dT1VA4gHP
y5Dm0nI98z5JGsyn0MMK5w5S71gTGQreG08ZWJqVzajO12XouRxMbaPfeoLSqSh/W7/wT5nY0QbJ
Dz1t2Q11fLHTZ3vArBeWvixEs6eC3r88DplAvJBOAGeukpxFuC10u7UDOp7oScTyFUaG/VYLrc+5
ZuNXVKJ+ij4pBrIjSqZVjeexnZlrv+H6+zrcmJCnFJOEKKA23W9LUESeG7a6Me2mWvMetGEKjlMq
/VOSVTN6QtNaOnd9MhmP7jOUFQak8HI5Xop0I4I/3oSXjum9os48YocWil1gdWs1husIJ3UijWmY
Dk9iSBeXQ6EdM84oYww7u6x73AX6pv0Qeai2G12bdBCFR/sr1iv1Y4Af+8rOul5WxuajgmK2KKgs
6VTpZKCjOhbDzsUs/NUAW+aUU4dF5cpsjqFudCtZ8vWyqpyR9i/5jwteUVzOFc+cUXMiOexqURHB
vXjcIJ6B1alef75/QH81Oi8PjaS/ZXqmaqipTtflUGlYQ0n3gmmHeSzKjEMGgGhTW5ilAusT3cce
haw3Dro6r0HgTqj9x7RENkoiGpcCLHY3Q5o5Kx3T61tFmkRhnYRZ3WdLxB9SUZ0OZBjNFF/HdhDx
nnArhnz6eX/u1/GCZA86DdkKz/+rYAg7HN8tw+pB9/tgeDMwtjtgPlV0NHAeBYwmgDXAinJ3yHS2
YpNNqOTd/wk3PjQFFzU6NTqkH9Sm/+28Wp6PZmzisqltPXkiT2hPem3rD4Djxcoj6OZQdNGg2xD4
QfleDtXEglSkMQb4t1qLG1oeGtY2bBqEn6UYupWL5kZSRo2Yx5YA+qbeeouZhT2bUEegBN2jQcu3
nWnAkkZB50FAT932rQFbXUzREVqw+9zMdfAmmI01buetLwxPlr6QC2Qb9s9yzigGmkYx4jBkGE+T
KXCKiTDHzrMZdUL8YNG1NLVdmsLqJ5Xp3t//ujeH51wRPGz28/Kxa6WNHyYEjp1hJDaKkwZt5KRX
POjYHlFHBAsPoLpD06HEKFaTL8ZWu3wD2smKAKRehotv0DoAOrqxHndBn5XfSjwLj8Lv7M3QVd3K
kb0RIbl42MvwP6mILAksgdG5rTkPI6IoCcIZeCifhhFAN8I2ERo3Znu8v7S3djNwI/q19C8NMqjL
Lxtji5lYku1V9d743mGAHWzG9jEuozX8xq1opAojKmcC4bXcyW2nYx0ZAW5MRGkW5zB3EVfCCq2I
V4KBCrWLUEx9gnsbfits2iW9VaZTXwYFN1xRCfcRe1R77xeIDhVdO79rbcSuwTx7+xcvJBe3qsUo
PIX5C5PwWwRC1VQOQYJ8nhOUAzZiuAXtSqFsguoGqa+VsPALB7ecI511QEYwRhTX4PK7TSCNs1yf
MG0GbjwYiJ3nHpZ/c67Lw1z1xrwf/Kgt0FvOpm9IMdhIzCOuisZvpcRnBqqjw6bVY8Q/E3wtngFk
t9ORVqgRHIYORfkZhY2vnS6xmEWojW+EcYwzv9WMQPM3dh307h7B9rF9iM2oeMXEgxRFZvPF/FD2
iiDfIT3yYDWYi5JTHhZ1Ku0OCT40MN/pxfAQDIgr4qIlH1ILM4UXf0Wobzw5QcWCoFwev6TjUIZw
bHd1Zs7fbUT5HgrECL4g+L2Ga746eWhJEFFtgyYZJNHlF7Qmux6mApBKks7yZFnte0PTwlMUNcbK
ZrmKKWokqd59klwA3vzlXrHCtKyqgZEw7ChPZYXGd4QAHKqJ+nju0EE53V/EXz/9YnOqAVXHDLQC
sPslRhb7gsCUlWy5HxDu6EI9/DQCbXgQVo9TS1i34T7ED/trGo3xY9L52rPmBvEJHb3uxYVDfoqC
G0LEkdDPXbU2vx3Lphrq3qatteUf1evU50GDECY8DqcjGbw/71tflCcaNySaAaz1IgXsDUMks2Sd
SxpbGYxm9KFp5yHSKbRk/Pv+YFd3IhMDDoe4AzU9LsZFajtiFanNDoNRW56/RKgwf6661nsrndTW
Np3JdVxAQT6Phqc8WxvD+3L/B1yFc/UDUHyAG6hAXcuPbMnGmScbEcZs9KcDcj8+liaFfrg/ys1p
8k5RxQTw3UtYt4g6ZPtrRkFZddj5A1pYPj4hGzxuEbVAG+fJb9PoCeeTbufbiFr9yfCqFMSThZr3
4uhgwpoh8eOoQ9qIY9JPCMbObXueZTs/tFyURw+1w02lWf5pLCO5sqOubjJVBeP8KKIVtBJrEf3q
Yazi1tJ7fEPn+cvYYz7lt5JKIIbUJS5Fvhy0TV9IfSXhut7JtPP4T3Xw2cq2eXlqckBhKDwDTCgS
Bmet9TeNU79GZ0b/fH+BfxUVL2OFamgpcBrkDqQhFlOckHsScROSyuZo5O8H3dXeGJFVJhsb87yP
UzEWj/gLa19xqMpfK+7lHtBHdUb1Of1cGr321COe9y7X/WJl691afPgfqn0Mgpib9nIRUMTMRSJB
XdmxH8WbBj+0Td1LrHIRbw4xh8AlGyODtern9Y7nWAtSTdadWOKoc/dbxKLqQBpe4+buUTmvNsWM
+tgmaeBP0Bc0HEycgvgo+rL/inTzHBwQ7R6blX13fWMohQQ8HAidBgi3RXCZs6aUo8S1G0R2dTQH
GoBDYlqfTPT63iOW8uIEm31OKPPQPOF1QTp6OedZ4mAG5w4WaIZxehJVyQ7Tz25rIQC3cjnd2NrM
SGFTQL2DmV5MjXZxI+uUv51yMW+VANDWpxC8y1EAWlnFm0OBtVTSMWgmL8utWkzRurJAA+pe+Iyl
WWdsM3rHjw4+C2sAz+tozIdSFWseaLAJ3cUKmr1Mg7wU3VbLTKN+FHWWTIcM9t7Keb2xMxSplacJ
eifXulBh6Kn2PuOUFVgDitXPMULFGLINMtsZdNtfzOthByL1wMPTpHDEPXC5NbgAItHWbA05pcPz
7BP8jDI0V55dN8662uuUcJC8Qn9nMYpVJ2i4jhWi2rMZjbvQlTGeYWGVUGaUHq4jtbmPSx+Ty/vh
79Zno8vA/enC/4QzcDk7bL8dbLDqDqHCEONT3Bu8B0iwyGjeH+fWViS68jonnl3zZ/WObj9V5W7b
ihq1RlQEj9kgwm0k5BoM5uZQ6q8JOmUkgYv4lZRomQ8RO0RggrglVTIesr7/bnW5u8IMvK6NKBIJ
LzzYJBwy4KSXq6dBlXLRTCBOuOjl1VZT/FvklJkwSE3Oxaw5T1Zr/R30g/EtRuTlk1c7a42AWx8Q
wh5nAtYZoXkx2xEfqNYzuCRCXCe26ALPh8btV1VI1PFd3JJoBvO0pKAHfFssjnc5hBkPoazf4g02
cwUM/rnH93aPB7mz90VnIeFnFJj0tUiZoY18rIS3xt259WFpGoFY5HXEq2yxV0VZi9Cms4OFAfZQ
o5ZUOwQ/QRQ641qd+OZQNFcUdp8341IhrcFtEf3NAoBwHqNaWUFU7m2AIqMyRHr5ySD9oLVLGZao
tviAsMljUemoJQe8vL7pfVN+UFLCZ5DD/sp+vTEr9ggwZNpv6GosyU8or1i5NgNG9nmQ7Cw4yHtt
5BmeDY23ct5vhGnKyCBKmZO6xRf7ZUBz1ghTzIZwpRsOkdn20RbnHwwUGrMIoOla4/n+Ol4XwHle
IfyG5gG1JOp0Kq/5LW+pM+w0dXWx5lirpZssnQv7TacNA5zdZqy+O60VtdtJwkDfCKolb6tMGvku
xHj69Zj4Itjj72t0/6z8rBsHlG4W5VMkPHhALPlY8WgHGvUa7vt8rA7a4CTVoWvxTT0TOsofjo1J
3naKAS18bMLBeZXQTEIhMw3zZyvuU/E02qE8iJH277sWeF+5ko/cSPdUR48KPSgGEpLFqTKQ58Fp
N+62OBBPOyfHJT2AgLz3quR1VPXZmcvKwHKs6g4KJfDy3Q8HnlKjpJ1Ja1jto98+WiFtHucOE4ZJ
Hm16z9Yeo8D4pndwgu9/iFubX/CSUSBMWzHjLkeK0brWKl5p7D1MfGD+NDt8oMKtPaN5cH8otWSL
YKleiywr6BAw/4uhLLhafV9wA3EGumNZB9PWr7XpuzCMbpN1o/MYdhby3ZgYroys/vJiZNTn4Irx
KSFyLduGMsIJC6GnfoubHsKp+A1+waczXwH03NgyjCLJVMDP0mxaHu7INOLeovrPfPCKnVvz0em9
4UuhJ/5Ra63wIIvW2UWYhqHT31h/31/eX5p2y1nCVVPkGpjBUKEvP2XUo7KdDXRl296rrZPp++i3
oQzkTxufdpO/9asu9vd4pmjW3g+LVgmty+ZHbI3Tz9Tu9K9VHlbHohPRAb/o8DxQgf7QaEnk7AMK
p80BryBT20Rp2ESbeiCU7nHWc0oAwo0RnVw7HVKMl7R8n6LfW6zM72qnkktQ5acAD0WeitmitBrX
YD/ttGkBJqfDpoLCubPCIjy2vlzbL1dpp9opDhwYVcK5BhbFOEtF9AKoGAWT/QgAzE82euXqjwHl
JYzoXey+Senal94Ov4YVgNoVKYbG3eUHLDGCtXBua6E4eB4Pb685WA2Cp7M/yX3fJc3K3XC9oupA
0LxhLDrPywOZUZ0qw4lpolzoHcuqH06p32ETAzdmJZG/NRQNe9XZdsmqlx1fXq4xPAefqlQro11r
4+htIAK5zThQK6t4FWZYRTiTdNF53fHPxTHoctNuoqxnKLhYcLP6VP6D257/qe3TZhcXRnHu6lZ+
mOckfnf/CN7aNzRseOxxs1HYXJQmBOgnqOBDu5XN5G4nMP07bD1Q7h+H4AnkcLMxTeym7w96a2nB
PFODp67LlBdhJ9GaEMHyllJcOdMUSM15Kwd8m1GKXkOUX6UvLK0J/g09TaA94LsvNygK8nZse1O7
NQMQyAi8TLvRi+YN9pXpbu4dc4VZdHM8JfTKaErvbHEJU2Hk+5YwVHUk8vYZeg77yrJKXFbC5snB
12clE7z1/ZRUDJPk+iXGXM6PRCoehznqtsD6hr+hp0cnqHeY5NaUIxDRx+EMbubKXf9rQ17EbVYV
NA1vJmAKSgfrclRTKyqq3hnZTVtGBqZkcVYdQq23ja3opP06i52MHr0nu8ew8bTgdaFb7fBGDzu0
6r04HDCzbETu4nvVuTR68dH+xP9pvsOKB7P4l+82RFUJGRBhFIPv8sfyuhwNN+QgJ7Bq997oxs9+
pOwlEMD/fH+o63ckC4P+NE9w0Ck8JRcnORgiGtmlRoNE07XPcTyWnxNrtk6ym4xvbY2XEzaUdfRI
FHD+tjR3/mHodeeufJ9b54tnM1uCAgtwFXE5Y0DNONkgJ7/VU3/edaYb/zPlrYldmaunH+9P+daG
B04GyhLhQkVgvRwrDESKjwnE77YT3esR+8dugzUFXjy83hOswcs1hNNVasQaE6wg0gvqVNQwL0es
gqQ0ZA0DmVe69h5EIMbBob+SGd0cRJXAACCTfy3L9R76mvMgAQakvTZ+sBONfH7szdP9xbv1oRSn
8/+PstguhvG/nJ3Xrtw4EoafSIByuFWrw0keZ499I9hjj7JE5fD0+9F741YLLZyZvVnMAYZNiiwW
q/7QtLnqVt1hCBOMvlFGOcRejjdhm9rH+0NtfSfCBKUp6DUa19r1qqFlPDhFRy6iuM38TBIhNV8c
9+++yqxfJgZBe3iTrbnxtpcwHuIgqMrrAQcd4LGCvsJBEygthJnTnhPE+i7YtkU7J/z3XbyOR5JP
ANlERcR1jSpZHML5ZHCBxsNkxEera413OiUa++TFSfNBGXFuQAyxnpJjaGIKeCSdibCmasruk6YM
s+PD5yqKQ1aVg4NPeDeVx1LXB2zAc2EbEJFy7W2KZQYl/FzPHtKxV0x/MIr052iiPAhRNWz1nS+2
uYDMhmc3F+0N8rWd88auLLc7eI40XaUwe+qMTMV6Tcl2FnBrc1CClepKCM5QVrj+Vo6LwF9p0ZxC
An0+NkNh/aDehaWVbSkBkLq9p+rW1Di6Gt1qAgdPuevxYnUxsJVEw6nUMVYqld44dE6Rnk0z3Ctn
bw0FlALgJZLyOB2shtJowVNDpG3r5GFyiOuxxkXUrQMcqvOdu38jjaM6gIw8Cjggy9fd8cFS7MGc
USvoIQr9Ckn9K1+Y83CwVaV+RNqsOI5CrYLR6us9tPnGNHl8A8bmRQGZdS1LCdUqw3EKoYJFx6rN
rq3ukikLVGBtzE73I4lcsdVho5Bmw0tiHBN1huuP5yAqatQlmQW5avzkRi6e5nk+nu+PsjUh7k+A
0XBy2ZKrRGoIhV17CndY7TnCd2YF9XBbF89WaUSvvy6l0i99ARrDEMNXW4TQ6+mlyoQ6C0sjTJ+b
8e8as7yBF6PIf/yHeVFKoAVMcYuX2vXqzV6rWkpCwmYnSwJZdWwfczTh30xVq326P5T8T60/FHxj
ShcaWvnAva+HmhbMFdKcQonmJZgS6ZV3NpahP2XZiBQvsGlKzThR3x90I5RIfrPMPqgr8HC6HjRF
EgW7RAYFsBI+96GnBr0x6qcFP8VDIRxjZzduTZIHmiQi/P8Vcz0efl6z4yRc1JYLzry1DfUJ61vz
wp6C0KXOTfWACGy5k3ZvzVKyq2nz0Filz3g9qmfO9ErRZzzUFl5+ppdlJ1RF51NsJaiV91X1+ncv
5CSJ5+bmpsC32jUZmNQqqdF8gdpYHsFFqpdKgSaKl3Jw//ttrKdk9YPMBIxBGXA1M9k06FpHabno
XDOwlF77UkQRtp2VquLsBd5ZSfyp081v/2FcXvX0qxn9hhtPNA3rRmZ1U2NMEtVtYSpZmk9V7xan
tLJiejFFvROxb5WpeRPwCJVXEEUa5n39HdumXqpq6SmbVEn8VgEY8BRWU/QMD0S5hHgCPlA5Hf/C
siM6tgXXlJOq/Jy+qwDtNt27SldqnFJntTl6BtZNrz9MUqubnh5gcC6V1WESxmT0GLOyuefcODdl
kZ8jwwj90uvmBzuy1PP9j7D1fuH+4n+kUg4qoKsssV8Md8hGEql6cvAha5WKNCnTi8S9YB24vNfm
sjVPPeavj5RbMQoelWxID1NuxXtEpo0LgJ/CqQYDL3OE1afRatTkdJXKRDxhUpdjFHyYKxOrGyhl
O3t+4zRLxCXtbmgTdPNXywxdau5xuKZIoJZNfF5qHpP+7BjYJwqriN+knoFn5v2l3poe1ydvCylD
hpjG9c6LudtsjaT4kIba9FKJannviloEahjFO9PbyEuozRE0aKdwZ3ur56CRW3nXh1LTrdXnn0mY
ztgeN/Vj2uCKqngzcuBFCc0XUsV/mSRvNUrLEGAAnl9P0u3iGudcNN0KBz9lc0TB36DIc9Y7Jd7Z
ulvrSUjHPIXoAcZqFbfyHnirV6Pa2Zm4PUG5S16m2fuJg3ny/v6X29otZMnSoAg7PJi915PCeDEf
Gw1dvkWz44vVjuUz8M+/FbuNAq/jSXB/OJP/3OoWlxhn8izJv7ghJOhL3StWG7aHPtbzQ4Xt5LGJ
o+y/LB+9FDkQhLS1IG/h2D2fP6YkF5faIa/xAuQJ/LPqbfH6q4wdD6qTRpG0/5AX0B+NIpDnSq4V
NPBUfDb9Qffar2qrhMQap/xwf+lu4aOEd5JIGCXIHeCgsir9eAkO2rlrt4dkcEpiCHXABH1DvEe1
JMinqTxFdbEc0mnGmtBSB3AnqXGKGsfc6VnJSa0/ouTCQrugPQwE73rSrRNaRmW4KKDWXvYkPb7f
lm3/3m2n7KQMqedDQdvTAd06EfgMcPBYZ5hnq6g20sOx1ZJPGoeIUZlp5B1tZSp9QG/lzj26OT1y
BaiTBgWnda084ZWhuV0m349efrSdHh/U2QnY0e9BVttPAhzHzopuBTXZ6IT5/lu2ZxVaKCs2o4EG
58GWjsCJ1xZfw7Gpnql9FH6eVfpTKJwQu1Mj2tlVWweSYjKCTsDqIEStRranzHFFR9EmHgrtS1kl
ArSGO+0sqfw6NzsGrCD9LGL2jbVbN4BjsgX1Gt0clQt9/eRrYpTiLNxxOhpjOyDvaukXxbA+t/Ci
0p3MY3Pz/DH86npqMGC0C49JFoawDwi4d98Gy+tOHs7cO9fTVjzl8qVpLM2AeKtcn42i1xqtjggI
STE5QaGNU+ybCE8cooh2gDbtalVuDghGkITaJv1bP2CVNOkXVh2lWsQjT2RVwKqFkZ2a1mhwDIaf
ej8MbX5KORoYQRnCV2sZppYCEgC5ZS3hcvdbrSqPeM22UxC2pvKev7bvO+GIn42Wql/ZW9nOXvp9
+a03ExkdSEyK9YCc5Nf+I+byOswGPEGZcTqMDcbvrTkjkhuHbw1suL8b86JBRtXr+oflJfH01KQJ
+CbVDaO3U1JPrj+LwfkLtT21lKridXdxW3e6FHFcfg1bTFz8MPPayp9wgUYms3Z0HOXNVv1yfyG3
NqVNUVICE6H0r9OJMbdc9L4JM4uawZpTSkyPBsWMxcGLarU93x9ta5v8Odoqfg49tRxdXolFg9Xo
hA5/4luJFR07lA8Pi6PGOzLZWwNSGMD9E9oWYn8yyv7xlUYQbu3oUYfAuG858D4rLupkoACUz9XJ
a0X89v4Et/YlKCwNUgxvWcLF9XjRUqTFrNC8TdJYeTLMBv8f055n1c8jiE+H2pxZ5l7r488pS//P
NJv2Xm66FUwl+J+wDC4e8ejr34AFWKzYGbBF/BHVp0U01gfbLsbj/Zn+fiysDwCvPInSxSkCl9Dr
YXTFidKwpZZaVWgtoayppz+jZoRYqxRLZvihHX4sygJiHEqjRZBoefzLCd06oWnU9ArFw4hS1DhN
xYtSGgj/aK3A1WZUjKX33aZYvoledMUBr1zh+Cn5jOWnNk7rvq5ohXiDza2WHKIcWeNgdLv61egb
9gYNVaogFJUQXFrFUKcWWVOELOOErM1fgxtyJISanbpO3bl3N84g9zy9YlxAqU2v66lLI/qwKKm3
GBlIMAHB/0LyFfqO3To7F8Pv3tHqq8nqCnkbZWlegavNkRQj6Y1LTQBSbloeHCHm8LBEufiWQBJ9
R6c1dfwozQvvAXpQb31AjcZmD1vRiNm2BTfdX+ZUe3EJgI2fqqJPnpu2Gd+1M0t5EpHpiZ0Xz0Ym
JDMDdOBl++1G+hRidDa3KTVgE+zAKZktcXQVvTzYi97+nKtYJEhpVra1c8VsZbqI/FHnk718CQO5
3uDCye06iangN0ZuvlHa0QpofcSFX1E16ekEq3Q8m3HIULKtx+OAWYtvN+jxccT1f++fto0twlNT
qlFSkuMfeeb/iGOA2NHjWrz6ACHT+JHEA0SLWorOtsOMVfX9wTYW3AWuxtNFooSJmteDuQp1CM0d
6DA1yxwUiq49qrRojk7len6CxPY3jSbozlfemCGDUv4mnpAJrhusjYNZidksDDrWeVD1vf7QVMuX
yGvKy/3pbdwJrnz+/b65KeuvphcayrjYbsNjM9VIjnITyqnuoliDlf2xRRxsZzm3ZiZP9m9FulsQ
qzubbipyGnY13Nd/bAEAWPRj+lYFp7Vzv24OJc+1XEJO4OpxhpNNa2VYdx9CHcVjB5H7pykPvw/u
mDzcX8TNkUj1+AdpQe6Z6z1SdFZvVJ20Jkh0nAPxaT93nhiDJLXr0/2hNu5UWqyQT+C6QDVYA8mT
RK3o/FOGKBNOWIY0yYE0Ij5igVcENm0SPNon7YjHVfNU6mLYqUvfCpZbxABqElCWQRTdqFSajlDF
EGKLsMxFW58q9FObwEHPoPAne6miC2ezj/1JFUL4RdflLqHJiZ4cbaLfR6HPfhjLxvKQXZjmT/fX
ZmsvOzz9QfYS1am2Xn+GIa6rnIpAc3DjqTxgKbkcjd741DZa/hh6VrSzFhvDwXlDFI3aHrywNU7U
AQARLzmP/8VVvUdRh5XvjWX25Km1fYhHc+8O3vj0kuiGlDEKTDxn5N//CHtkdkNoTIwn6im0jwYA
5aC00eJFqbyuRrQWwvGsGbNyRgMgKnxbsZSd3bc5ZXAuaIgDHWUPXv8EYcdg1SZZWxnmONBGASpa
T+aj5fXNU1XW0ef7X3TjYHG5S/89gOE0JuTv+WPKQq1Vb1p4hBtebx9wFxSHpla6x4FawKvzDt4v
Hv6YpP3Q8dccumqaNb2zeaCZUe5dcI3LMXGJ1VNRd9bOKt7OSg7FIPTOICnYq33aFmJCCc5uDr1a
TicL0q+vDmF/ysNdYtftB6PODgKEviM3Jvi06wWcaweHqCqStcSl8VVs4nFlTOPjYuu1T0+g3omE
v0PddUrFApLwSwC7bPPIuf/xxeLSdCqzH5kblXwDshCkeF+onIuDF8ez69ttiT5EWuIDipW9lpGv
IOH0hLaDVx4RrIlaP45GXgoGPP3Bxxy4yI6isI3HtAiHn6lb6KcQwYAsaKZJe2YJxywQuhG/jSKk
/I/3N+BGw0JaNEmJRR5OxPfVfMJKmW01U5pDZprjLwr5xUPltNkDj/qFpFTpuiMap94Z/Qb1wXND
9Ysl0BzYyVS3dgxcr9/8ZXbMmhseV1XXFnmCI7keJ2/ZLMmb1DJy3xlFujdjWchefUGaFDQBcYwi
3VmXn70mNgzFpqYOY8d6Kacxi3yjS5WLyGPfzdNTbJvjs2W31TFKvOGErOBJs8pXK+ZSYpfCZf+3
oaC2fr2RNOgfSlxwp6JrRVts6fUTdq3oQTQtOXregUO07H5n8hvHhbwSVDUlPymOsfragifQlLdW
c/AaFw6PU83PoZG0b0YasD1tuCHfQzHJh9N6tVHIlUq5HJqbJGV01LIKJ0Tb61wBD1Crs5SvaI60
BXEAxCQ5sJNRDZxBrz/e39oyS74ZGaYdgBKJzF1fXxQAJzEKDUpJjGesKKv0xcU4eie/3EgYUBiB
/y9FKWX5drWkdd9mSzh5zUE1a/QiQnuuHlJsuL9ocz7rR0UajUczJdY0UdKPY5Fogepl8bvOHfLq
1IRxfFpiw92JU3LU9eQh1spiOQBT2jrXu0tpkww1kEymvZX+0Wy19uhE4FsCLaSmt3N6b58Q1EBQ
24bfgcuLvcbO1JTJa2NgMEXtyiP2LuYh7lznr87LwkOtcGtbcajvDLq1lf8cdPVit+pqKWw1ps/e
Z/Zh6BQ7wLKnOBhFS6UtnIydbOh2I3NYJcERHBTv0/W7XVXHFFWZoTnYszc/ACvD+hAuy7FqssXv
nWk8pk1jniN12dOzuRmZ5gMMGoo81D7JwFczRctgtunsQ2VRMEG6mGYTIWlhggU4GPqcdRcbxfFf
C4rtGLk0rrFT/LzZSjxAyYh4rcF7BAK2agyGC+ScOYL228OVLs46hdhnqwm1p9LWwr2oeHNo5WBw
WaRqBwXX33iDP67Xuc06FIkqnrrRov8FQ0g/eXW5p6u9saK8B0m8KOjSpF93dhJ1jGsyOjA2rNm7
RNARgP8oDqQTC1LtUBDx8s6Ctpr3WMa3gAkmSBikVMdjFDbAKsOMyqarKgnLmhtX+97rVfyLtBbv
FXMGGJC2eaUc+Nx2S+fFtM9mH2mRb1dj9mgVXk7/oAV/eQjTxpqPAhtZEyB42Ly/HzpvDrT8kdwO
lBSBMfEhrqOH4xbapHQzFPYJOX8qqYtxcsYhQXWLDK5phUUBRAtfTTCnu2fy5OKQgQAH97oaVmKf
PQk0t4sw+1KiSqVRITR3AdA3oUOOA8UMgiRdfWxvrschvagbdgbjTGp6zs3YxVjQnRAuHevZ/ZTb
VrFn+XtziLiHUGhBQIR3LQOvphZZIq+xQTIDvS/FO6PQiqdOtcoL9inR91d+PDkUeDwpXMEDel0F
79t4meyeoUTfT0/od7qB1i3xY5pj/UFnQH+mZWzuBImbJWVQjBsJ/pJZeMNyNRa9ccIqNAKAEOW7
xEnQ0C7ReWxG3Ha7bo+ScLNBV8OtYlIJ4k9KLxjBUuCLc+ncSJ18dYlqCtAtangDX33yW1Oox/uL
u/UdAd5RguOuBzG96kPX9NXCfDbwt4/LuvRVbZp9PUZa3jfaMDrdH+wmTJGmIXVDfYc7mVOxmmWr
OWEeSZBQPS/qsU1q9TT1xr+LGSenYlJ0NGGc4t+aMLVTnttYXgZ2cIXkc/LQkX//IwpbmFDDuW61
IOuc+riMuvIRQ7Z/q14d3kwdlo32rJU7K7uxg+CIcTKk1y9SBKvJjq5wqEYz5hA2Lmp0bd69FPgL
IveiQx0rZ9fZWd6Nb/m7Mk4gJujQB7+eZVt3sdcvAgxWF5lfNbVr38xm6v0o8QrZeXxvLSj1Tvk1
pf7X2mZLyfGbL1qXPLfqVIEKu6Po4p1IBko4kEb1g9647ttRYD9+fwttzZG3DjQCygu8eOSq//El
kxqRaaPXtSDVjGU54vs7fyETbxw/94rmtYw/9iub9TdbjLmu/aEbR++yhJZHYI3L9Bmpjbb109Q1
T7abzB/vT2zrbNDJpGEjIT03MEvA2pBZZ0sLKFM1rY/fyvDUu81wwdzJ0xB+lrEAVw39GI55v9No
3BqcRBfcGfkDo8u//7GqcVYooBUNPZixT1MfZ7pbFyeM8Kmu5wgLOhh55vuCTPsjhpX2v6+fOZhk
6c1LFZDfcD04z2LHGtvaQO++0UbfXjSvP5tVbn3Ps0YlMx2rYwxnLWjnqN0T0pHvhqt3BZ+YTBQT
NYpVcvrXgxv61E+VPRqBFcZlfuSVqaKqi2vI58yjPW5Cm32CeW0HqGcMwGXM/LUPm98/AOELipI0
69Zy3xmOPo1CLQ2fSKMMBrdT/UR45kURy6vLWAwFGA4YLykJFTp5tv78ylqWxo7HQhdjHAV57Pbn
Ag+Fh0L0e3YlctnWy8oQwAvBw6BcubpW9KjUosJJjWAOXeD5I1CyX9R9pEUSeo5Pg9Lt2sXeDomW
j7xGuVsQHFgjqiKrEiG60wshaRze9lTxjoApCs/n307fRWi8GhiNigMCQvS0SO4w71rN0Ysystqh
XYJc09O/8YJ6Qp9G0fxMnS3SBov3lDVPO4H3tq/n8mQx4AmASpXaeKvTMulqng6oxQVJFUEdmYZJ
expNK/w+mrn1IQ/n+LmLWuEcZlHaF9CHIzw1dzjPg6f+vH9wb2MxKSA5gyQj8aXXqf9gz7k7ZgrK
4pVjfFSdKf5RqrX5Isgkvtwf6jZAkQJChpa3KY+2deZAY7EtVCQQA1G01sfEhb7AII7PTepcFnX6
6lWNd4m9ci8/2thV5J5S8AR0lXlTw49mp7QR2l64U5ukPNR1pkf+ksPN8BNDbT/ofdbtPMxv71YI
mlzgpHRUmMjMro+pm5r2MOjzHGh0wC5Dbjd0RRTvmOTO8kNLsDrIdOfd69eXRJdUl72FJOAqdVCM
WJv6Gi500ybJJ6XW3xQjhFRioHLReFz6DUW4AJzCHnN4aw9JjAIxgjoE9fXryUZFnpVenKlB3mjT
uZv06EnJ8QrOuizauc1vK1scHVpxTJOuDOn06sBC1mvy0ZqWwMBlEodOFB9pfiOE4DZh9aYtptGn
ae4EqT5OD44Wze8TCs0fm2KMHpUuz1702oku9xd+a3+BAwWNCVCSa391nNupSCtEqJcgWTAv9mO7
cyrfLEmi8WS3yofSs5LMvz/m1mEidaJcQIUaRMLqNZxWWZRJknjQCjE+e4umf86GKH9wW6P4WTYz
HTFKY4GWUTa+P/LmbLmCQLcjugsR+fpraxXiIyh4qKht692bCeDbAacX5Qtk1O4REHO4Eza2dheB
Q1I68PWEOnY9XgGScoQLxJ0QFf1pmrjnEAboz9XkVsH9qckPdX3jUQOhtgBFAZo3SdT1UFVhJJWq
z1NQZFP3DtcDk8/YjZ/uj7Lx6SglyTcUtR7y39VxqdUkm902nYNYFFN9KGrDeahL1QDiItKLqsUO
XzXpkMKlUK/s7JuNwER6hhoZOTFPqXXdDo34emiRwA6WaBH+Utb1gyVG/U1fx9UTGvy9P2lTdbw/
440tQw7Bhc5zg/rvWs/AIvm1kqScg6hozaA0zfgx0RPrpA7WJyiO+vn+cL/LnuvvCEicpAUGEI3b
VZCg2jrrmV3PAQz3DEY5eg0Jj+LTMlr2O1QQq2+aiQj3rGCXNKl1VB+bRrXPiR5mHxO0SHSfvp55
8GoeQTs/bWM300om0NJpgf6yxnTFsEOWqu2Qcqoc/W3mKcuDM/T1B7z0yh9RU4ZHFTnV52xs4r8F
DMp/Uol29aE2Vyd9NJMjff35uSMMXdQMEcKdnycP03rlwGbJwMrupKBwfQJmZRZIFA8TdNaqrQND
jGMeJHanf21VQ3FOjgJUEwnCKPpnxEc4OlRRqT63kZ3tKTPfylHgekbRCDko7jNpTXb9U4oUxXl6
cDgbDG3c+gVJ56lHcONJevjwakxK43FW8/lil/N4Liqv/KefZ5EcKxMeQO0o5QtGm+Y5cUTxnIGS
+oIIsmLtbO3btwdpv0f2JLXNZE5+/SuToXbSclanIIVihu7/YiZP+lwVT1yT3rfKVFEerNKyYynL
WfhqN4ef73+zjRMNbg/nAalPISER17/Aqp1cjYTK4UqIH49RHOaP9RAPn+zcxRFi6Lp2OIbO4r7+
HgDBzpCwbKXg3+oeSLtaH4ANToHAzC0/NY1TZ7/ixlCqU6ljrHRJKqfQd15aG5OF+gAlgSqpS99h
FaHp2ptlKXtzk5o04lukzPElxUqlPrtZXiV+BDpOfdQK/dVIBZYXBB6XA3ct+hSrg4GroTkZVqmR
0FlTF+Af0LuIYahj6MdpaFR7cWLjIErBN95BsiVwA6vJ0lyHKpdpgVmh9wLMZMyebbMXT94w/zDg
P5xStX+rR5HzANYAG85C7T/c31i3oYpKBJRmrngY20hlXm8s6AcLOlteG2Bfp39xutKilWNVyru2
XIadUu2tPCDgbyqYUuwe5i13xPVgMQoug7pwThZ9bKunJbSTN9aAAJTfhbXb+mYPxvOlWObZPXlm
M5uHyBqRRDUoGbl4e01qfNLQcNzJ428zAsBccKcAGZPg0uu6/lmIDCxe2Np94KQEF0DwGkxCUAg7
Z/j2grweRv79j1d9Nwrcql2jB9jjuhEWOW7/1ArAGvXUtN+9dDBP97/t1oAcW+pFaP1QPVmlj11q
99ZUZEOg2nl1cSvNeVCKGVt2rYj9ECevy/3xttYRI175ZaklQOi7nqBbDpqZEYgCY2iil2ppy4+6
Ne1d/LfBmCqFDXJTovT4XKtlxJMPLFjRD8Fs1e3JzdLM9j2sDN5igtG8XSwvfFtnigExMwK3N6jm
2/uz3DgxjK2BM6LmiJrualWpasTmmDJ+XLRlkGYt1OqubV/mZa6P94e6TSIpeCEtZhGOyJ/WzMgI
UWAdlbYhCGsbB81MpMqXtNCdx0jTMFlqlyYlqdTDX7wPsr2C223DUJbbqAoxWYqrN02AWjEUI0I1
FHWbBCO2qvXCJ2dss6dS7ez6kCRKQ8ew07W/UcbLD6Ep+s9d3f9TxJ3xsU2W/JiJeDpU2uA80xvq
3t9fnK19IDu2UhkEHa0177ECW5HraOPgktML6tjIu75XbDT6ZkUYhg9byQFxNoyZX6QGup2Epp0U
dGu/kw0AUySe8VhaXcqhW5ph4/ELRiuiDxOHBYagqdvu1Hy3jjEqCTgKA5IBGroKT1nnzoMuoiFQ
FHX4VKPwqB9nRObms7cs9WmAH71zAW9OjJqZ/dv6GamE64OcJq05OlnJQeZ6/qJOevjGsHmq3P+A
WwcJajyS/wQNkCyrcCEGpYTTQTws8049dkroBEjpqUFdAQp7/VC0Wlg7Cci5ATKEJAyY+YHqVAY3
PVfj6AU2oqfHMPLETsa0NSsJ0QPUBlvlJlfskfzLE0CVATwF41D2fXekTZeCnI33SjJbGwNSGPsC
8VoqUOsF7LrGFRbx3eR0/ZXYuXnp9F6FC18ZH9Jq3Lkmt2bGFSnpRkjycVyudwXdjFL0iovHBtbk
BxAvzbmZ6ijQGvgS97/XRuD7rZUh4aKydbWK8VirGeju2kPQIXBE7rN4gI6VFFuqob3okOD8QjEx
ghwRO70/8kbtCT1TIh64WFl/slcJUazjnEbvpw8GZ1DGs25AVNESlA4utfC0r1Ms1NZXrWWZQSJT
Q+UVapZ+nBtl6rOP+2+yyWhcIun/Etz/bRsfgN4o5U1pRcHLXh7bPxKIanZFSyY0BqaV2Ggd5F9F
aSyXJbJ3QuvG+b8aaPWl6ScX7Rhj0biAFJgkuilGE7Cz2p1C322izxMU+BYJg0NJZu1o2qtdjRwX
G1hfFtSxhqHh5aspx8ZUGt9VS/WN0sTWzqBb9xosGxTveHRSwF3zTnR6ASCJ6iHoUzuuDosyd+8w
MKipMY6l/kMRhVoyemcEKS/N0U9QSXhXGkK8F/UM+IqY0WfkT2H0lPLsPHNYpi/3v/TWwlAql602
Yom5BhdnQstsU8QDzVPF/phbgNswQVBQxvUoraSQbSeuxNfHY0CpUO2kpS1PzFUNTu3bXEmdcAhc
NvMljatvoGEpQ8D22AnHW8dbAhZhPNAooApxvZHDtF1w7lbILLyo/GpXw99ZI6ozWkDls9IN4UOi
OVgu1+ae+fFGU4ZMmAOIjSLUFexNrkeGgh12mi3vUkTs26Bom+pNMjuR58/VbJ3hZzRnZLDn5ynR
xHhpclzHxhZpEZyc3D2n9I34LZ9etGVAc1OHkbvgj/OcKFMeDbnGVy7a/GFIW8oesfqlc5r50Z7q
PVbsRsLEcDzy/k+qWBM2FfoVQwrSNoAaO7yvYwiTh64AUWWN9YTrdDwlT1HZW29cxaz+Uly8lu7v
6q34Jcs9dK5pDpGWXM9XMqnrtPG6QHG0N7mSGZ/naBQ0/8bp/B9GolFLk1zavKyRg1khYnrTjEQW
Oh0hQC0XxW6qU2Y5/c5zYGsv415EnRd8M/9ndV+k5TJnRcfeSBx9TI6tayHeTvXTxxm5vfAm6X7p
raYqhzZ19NeHCZrRyJ/RgQIjuXYM1vWoyoqIsftSsU+90nnDsRDz+OLyb+uDWabd42TX7vH+6m5s
JNA5tDaJFrJusPqOsVXjm6M3XVBFiV1eMhXmeGoqVA6SUJneT44x1udBV4wPM464GQZJ5t7jZGPV
gXtQ9UUVjM7beivZo4WPuRK2AdsUAa85/+BAnjqOi96fVOGJB7cy46Dltn79zgL9QIuCuq6U5VkF
yTBxGm/scvZwmrjfGlUxz4CtBQ2pst+5hfXNSdogk+SRAUu+2lqlurghfPkuGCfH+tFUXfxIF0o/
N0M+PCxdHwdxZMcHR0vKz32X2whAw/b+vqgmOjqZGw6Rj+jX+DBMkxGUqCjnfjuXDrim1Gj/roUR
n4G42n+N4ZIYAU3b4Vth2t7Iei7jY58n9WE2lL4+uGqqHbvRW97EM7Yf93fT5iwl/ZNqH5Svtbuj
68Zj5bVjFzSWUn1UpvExdwp7PjRsMZ8O+qwcRnD8LxRZ9zg1GwEYeBKvHIISBqjrjayXiRs3TtsF
nR66XwmcH2oDSg8WmmAQrFj/dH+mG2kVdS/pEC3DPUro1/Gvr1M3JnHsAhtFgPwAlbPX/aKcftwf
ZiPMkiDyKIB6jVbGutvv1G04lLHSBWrdT55fZkUS+ZZo50fhAum9P9hWLACmKy8xF7UeXf79jzus
U6oUz4+FR5xizp8a12zKd0sXhuqhH1vjZaT0NCMV1CEKMvOQPo6ZVe28S26ZRPh60KdERhtJUvLi
1TkBEYX6o6HVCB5Y9XRAFSDUU98TbfhsL1J0somM5rNuVGbx4qAeCny5Q2M7inJ0rO8vh7yyr1sr
rDh5pUSZgGFcxyW0bfI6NyBuAqEcn6VKAwKzVncqonI+Jk2LkrM3IAP36lFhUNOjkBRZsulVUIr1
zAvtTKmDQbT2F2kZZ/h6HZofVKFLuRBHeE9Z3Ff/vH5Y1G2lcikN8RuVygbQm9mbMcOmrgqrCavx
Z3R45/HgqVEB9wQYyMgF9fAfhmVfA2imAHhDHDPURIvtcBHBUFreF6vWJx4MZpjiKdxE4qR2ZX+y
p2jX3GYjWgAsITGWPVV4Ravnl1pqTeYioB6IjCP1YmhtWaMk7OU/Zgrm71OvMTI/N/r80s8mqmxa
lkExx66y1rHJjZdHwnlKt35Bg9U38Dxu/KwbwNEvlRL9ur9GGzHg9xtRNrn5NOsESLOyeBTeKHic
lzrihmbuJfNb22i8Bfpq2Dd7cWBrQKI37USJEaF0dB0HgKcJyuY5KniOwCiY5Dl/anKRPBZdE+1h
SzdOGYeLUoTcAmx5+WP+CDr9hIZNzC0fhCj0fGkb+1MlluLFTYoomOpBnJI62rv4N74+bjIkeL/r
22z46zFnGpJmhmtGMEOiqP00b51D5ql55Cd2PX6pvfE/FLql1x1kDZ4H8sl/PWIRqebSdUVDqSoe
M8yX06W7xNg7wJ9NPC/2F02JX5zIHIvHcalNJfXLRte/v3onYfECQ5h+tkylV2ud0F8Ii6auA61w
u3ezg5OtEjnEsVifhtP9sbbWmIo6zW4YimR2q03k5Tz8Oc5IPKfN8D7S8vkT3qOAlgvXPZeLiHdq
dRv7CMUzvPQsIjbMe/16hR2TkgZYE96BuVa/s8UwKfDr03jyXbtL/6pFSGLnDsOe8sVGIgA3UJKA
yJ+hyK0uTXT3U0tv6YMloGyOsZ3ogebyHL6/mhtHEr4wBWq6BwYsolUVN1G9xPEy0QYICVeHqjHn
x7R1UnTqs/r1C0lvizYBqZQcczWhpZq7YjD6LvBKq679KAO7lVWR+54V+IUhuXMK4RMd789vY7dA
2uHhY0sZ3xsgdpJWA8rvgq67nZQv6KJMj4tpl4dinvXTGO4i4DZ2iwdLhbzq//f7aj3dLGsqs2Y8
u+/if0u1AADc6dVRqMb8pk7V7F1Z6c3fr5/kb1qa5ApIDYzrLdrnZdP0WtUF9WQ63ZErNl0urLb3
pCZj9LkrdH2vTnDrK0+jAdKsJQtkUlZ1NVEts5J8mAcKBXouFH905nE+jdS8i9RPBq1Kg7pVjU9a
4izZgzZQwT1Fc92dcxQLfsRtKfB6MitL/9FYk9NATLTSX25oNZiRChUp9Whs0uLdwsEcfcT/w7dR
W0Y/4050np8q/2PvTJojx5Ik/Vda8o5s7MtIVx0eAN/oJJ07GRcIySCx7zt+/XzwzKqOpSaj6zYj
MiKRKcFwusMBPDxTM1NTdcrjMCz2U1ba6PrPrTZZGzrU2a9EJn66nTwShHKoQ7DJ6R/9sL2Suk09
ms+cJUSXm4RY5U1ag4JWpS87XJneuQwPf30zfz4k06qUJXjoGeH/SYEpWmA7pkVpeHWCQeQFtnxt
IoyBVFVQI2iWjZSCdw493J1fQcSfthwapbRZSF0JJfTMftjG20S2x5lhSq9NSmZHw8aevDjg/v/i
oVw/5zsAvB6HHZV8gJ461snfr9fWhqeg1qnBmNI4zmJupsYtp7bcm9Duol/g3p92AA7GTAscxHWa
Dq3M7w+G+VexGowZEEEL7SZta+PYNNqpl6LAL/OegPjX9+9fHG/FnBB+SRiRtPgBA6hW3khqzEWk
opRLvajNwPmMIhzfNnnGGr5ztIJp9r8+6L9YNHTHAJygAKh8P6YUTV3Jzhw2hrdMS/UUzsokKhoP
dF5r1W0bJAcrXIx/cdB/cRvBOXR/qTxQl/8RziF4GvUtIjteG9XSwxDCStslhWRgxlSFzeavz/Bn
jTc4xdzG1VUUWEez+fv72Kp9JleZo3mQj7NKtF2kH+sMyqIAeiQ3sl0jvhiooUpqXqtNRW6eSNcK
Fhu3sZ7kn2qdOw6GH3OueQzAYJ5gyu0wbdUYQ3fXwbvkUk4jpRIYzU2HHiFwzLE6GW6kFXRlImQJ
aTms3tRhl86h+qtn7+cElfYGA7Fryk+GTO3o+/PTIwPY5qyZQxjLR6YBVFyU5gRDXITSqyOZXXXR
G41Ru9ZsNImQpthCmaXUrHz3i0v982paiS6Urqhhkan+2DXHCTDCOkUvvUauuslXAy2aN7EWLpLv
KBAqcQBaSElgUpuW6HIjkQ5wrvqHJZHRx2nMOkLsBH57wWhwmJcsSmRsNzHDBakbt0lyKmo5w7BP
M+cXyttGJToVm9h1WN25n1UrVt0s1SMSJcXs9vEyOrFYYkNhZCdKq18kqD9vehZC6GwO6OpRJvyx
OJHUdlFOZkEW5LC7L6WWb5osqW7++pr+vCswUkSrhvSHBv1PE6hM9GYJvtvoyttN/xINKJ3Xs6m4
Jl69kZBJAH/xcP7cxWA90cEiL1hBAT5336+nRrXDfGW4emqXjD6xnMWbNamPHxHzmUxKe1Jty3DW
FsNfoGXsCowZ3cgq4z8YXf/5Pv2v8KM8/bGxt3//L35+L6u5icOo++HHv19XH8Vd13x8dJev1X+t
b/3nr/79+x9555+f7L12r9/94Bdd3M03/Ucz3360KIufj8l3WH/zf/rif3ycP+V+rj7+9tt72Rfd
+mlhXBa//fnS/uvffkNi6Zv7u37+ny9evea87/jRdWURf/z0lo/Xtvvbb6r9O2CawjeofR3iXwlz
48f5Ffl3FBpWNMFKI5CvEwJF2XTR334z7N+B36uGO0iV7W1NNNoSlMhLxu+EMPYGRpfZARm2/e0f
p/7d5f/v2/EfRZ+fyrjo2r/9xsQjt/6/4y/RCfUFyn4cnQXJkX7AbulkUeG1KTPQfSs+c6dzXopc
jxdq9f020yg0wOug/tCHk/2CHnra+/bcT5dy3db6RnEy/dFslrQSkrLOagaJGSb+rFXLNlmqeW2D
WfrkMupgyb5SqkormIrICi9w6vIlIIfs/YQYZh6cqUdrtemRV/FzK7XQ4zSCuRf9LJeo2liBeqF1
qTm66Ril91y1LhVNtkzvkw5A2eaG3nViqexWFmGpyKOLi/CcIdM5xbTbjbhO/LLGwS6N9DOMDOSY
EYUsedZwvwhRQx2cgXJ33VS+pkUafsODpL1m8VRPophgWlN20Rt5pzIYdQgQ9xJGOy6nwQmKz3aJ
2PbiMveCoZ5urWxpbgIjtUJPRgxy2uSammHzWNr906z0Ba3KXnYuOzWfrwzmgVIxYuP2OM/YBvsT
VPO946RxvokRXniZC2OV8qj0wdnURbA8M01RRV7qFNXrlFLLEHRGGV1KsZcg1dDMDPLpgOy5byed
9ZWx9jh0FyJkI4oqNi6t3lxCUdeZHnpx0fSfkRHGj6HOYXBGtRlJLzAFsVw0RKJMZPIoXSoRvlSH
ZG7Ch7nSSejhFCxPQ5yVlSj6yJhEb7cLWqqhgr9G1rXkGXIyUUeFgF3TfrBRpLQSpEFEhUBEd4hb
hFVdfaF+4BcZQ6piThW5cgMyv/2IgV3vhkOifO17RztolZTbYlSakGn5Ie2v2gwy/rZWOR1ur2Yw
VkPB39hUON4c5lztkSYL+oBLEsSj7ipqPgQeTidG6KFpUTW7oeyVZ6eza8TYqU+sOos099GXsnyl
6knTZr0uHU9W2/7YD1paMJJX8B0Gqw7HXW9akG0lo3jWG1JK0drl9Mb8PhJZit5Jjd8zyoCNaK9P
9Ev7gKXUzPGCOEVfFEfSiIA+TNzWN7pkpU+JsqC0zExs+nUMCuwEo9gyH3JsFSM/tREy5VaFSeoP
Y9GJEX7jc4f/a4psNnQXd2Y6OxQlRtOVgEPU1P5U9tKTPtepyYBZH37KdjrO22JELBZ7L8R2ric5
Rd64xAip9oqpmrc4ZeWOqwSqlrmm2kSPwQJjxk30JCAZayrHFkkHu7VqkiQW8ayildvNrVK5UtOM
kRvBMIxIRfQ+c3O4LJ3ok7E7osc/Ji5DoY2ES5XTfVnn0J4Cu2kCT1OQBnCrqgnaSw3F6kSEcmvn
2yiRo/xQ5lah78Ow7Js97kN5smmzRLcxRpsMssaki5PreZRwxhktZVHctl245xS3EPrWG5jBbpM5
CyYisRWOXlOjL7WV7Cyw3Mpx0COs1XaZDhOuw/fWXPIky0s5Rl7MlPuNjVKqcogZBzZ2UzPp492E
uq7ypbVVelpR3Ok5HijKVHk1qqDPMNsNXUB9wU0qb7Qhd9U5aWoXzcY5sd3KTFLwGTScvLqO08gI
bsIRUAP3T4L3qnY0B4/9jGvZljCsR1ep5sSfnTlFg4hSZ6AbAyji3sap1m4Hc5EfSaYc26dOk7yn
7WR1m5EJR9WzQH/hmy4N+hf0ScOvQ99pXxt475kfoeYxHuN+gBU1MH76iEGk7pUV+4jfmIpkbPHM
SZ+Y4TI7YUSrR0Fjm+ETRP22PvaKHFt+gTTcU5EHzAj1OpUh0eERk/kkakUlDCOxQRQlQ/U+rRQz
vEEC02cyHGsJpCmXNyPIUZ8YRsKJO5lj33uVbSyq0IpYuwc+QhjpZQV8kskW7l9lMjTpVs3k4NCV
SoFmcza3TzXTdG/amHa4YpR1C9pEEg6Iruhl4bY0lmbRGL1te8EU9IpvRWYZb5B/j7ymp4C2R6zT
+qzaejJRwQ40hV4hu/g+MCNHg9KgsF/FGE9bLKd0kIWt15Zv03xhk6mqfBRhhJ0s18ccu11T6PYz
lhOjspWoTb4BjoOGzSPBPalRpaE9REvQLbsoThtnP5RV9942da9gp1Qv9xL6kPetZdvtjkLli2SV
OKbkerJQEQnNwxI045vRl+FFzyyThsZ0HwzCUAe3L6fyvtHt7nJs2/yzr2fH3spRMe9wWenYPznE
e5UY1eckTTJWOqTcBJMxG1RXMRci2Zgl+SRqxDq+sH1DCbJYos/I/injvZQo9u1CJfPJxl0F4dl4
6k9UnJvRRzhsfEpjmnfQdnuZjbhJja2Vc18E7Jdsv8xBDblXjtAvb2rTXAR94wl/0HRWKVbSVMWN
ohu2KI8bd2WfTaGXD2lJMdPI5FLU8BEysWo1vgxVHlm+7gTRa9r2iy3KilkOsaROCXs7YBDUHapJ
0wXb0fLJ+SCvGki242xJkGz9GBRyQtG9iOgQ20UzXUdNNIe+Sd+U5b9YKmNe8lB4i14OAVSDIlVc
QyIph54XzKZ7xoL/FuC9jN+bsi0/u+/R7fco+f9BWAxU/M9/YM+fYXHc9a8/wWLe8icsNn+Hz4Xa
8R9e2BRkvoXFBpoc9NcVkmAMwP8bFpu/A1NXH0IY3EhqfAuLtd/pyJOeGgaNzfXj/vHN/geo+AcT
BQYg6Q+jZKNSKWYw4ad5SD0wMnZdo/IsK6gcr2JqtxRyoauvkh2id1nmw/wEChnuUb78ksnoIMpL
bKWbBf6Q4uOuY7VeanT5xdAmeeUvbY6zoVZKtuSrQwg7r0dV0DkVYTIjhTwpjNo3rTk9fnPF/zyv
b9E9Rrk/oXtOgRI7eZ/JsPuP0zq0vTRrkahZmuMSOTA/66jf2kukL4d6ZF5IWGkWf43Vxrmwcrn+
QKDCRt21Hls2wyoOM9FY8fqsGUsdeSur/IEGU3wyAz3X3IUH+WJiSDfxIP11t3LYxQYgyDHj/WTM
drqptVyN8KG1kR2RLDhqu1bt5lqMeGaHAohJnWZGK/g56Ef5MOYDPkF2OyaR0JpkVE8O8u6P+hxP
FmpJcta40VI39AvKLnuv7Cgf/DG0psyLsjVhHeXSjEQTdwP9tomWnIDqmhjQfu08A7gMaeTmEo1/
MZjQvl2dKsTgxjSBT5HWjRlC+imqYa012NWmDVH8ZoQiGo5EWfvGtDNoEQVqBb2ftiqJCOohGI13
uam0O9NB8pRJxLE5FmzL9oFsKqi2SqsS5kwrq77asVUf6sUxLpIGH80UmftmDz+5eUmspNFFnIQa
F0mqcZlDTqywXLr3y65u+vDFWMbuNDAmgTLtpMaDR9gYruzFIqLIfQF2UaVFMn2YyHKI6jz0FyHN
YY8eW6Ak13k8aKBXp1i+Bl3TdCKPRu2zJjS1nEQ23itZP0hupkXqR6jWCZAubWK/m6XkCleMRL0u
p0I91qM5UunJSp6AkW+ca2Eju9XqkycMeVzuUy3UxlvLDLuFjTWftc1UG+21nMdOhxfRYmGyqw0q
1KE6No52i6ATHiMlE9t23ufhRml045GeiP0en7di87wtJ+ctukDkLUAVYt26+ST1i3Xe0OPz5u6s
+zyKmWz50nn7X86hQDqHhekcIupztDgHDuccRORzQGEhElyyc6DRhzF6Hc/hh16y8zKbHUEp05el
FMU5WIW0qUNvTAz9DobKFuEMwpp0DnHWNI69wPKM0AfmIAzK55AYr9GR5UegHNeYKZ3DZ3YOpdka
VcnMCbBNbven1dSsdCWGM5+CNRYr2rSM95raJs/JOVjHNHO/6DWK8CKSJNomFQmc6hpFYUZ7+lmE
fKesqk9pxQFUtYEEy4oO8qqkIRoudvZZGHN3SX5d3psACiIs0GI4w4yMZ/hCXrFHvqIQ4wxIQhts
UgBSINYDV5ZoDu4pJHOvI/wixbgim6yCQbd3+rldeLxX8KOegVB7BkWWVShvcw/Y2kptbT87fT/Q
lj6DKecMrJwzyGrDyfK7M/RKzjBMMYIxdHvGPDQ/PUO1uamAbRQegHChApqjMASwG1aMZ/8B9ySr
U/z2DAPlpgESSmd4GMlqQJ34DBsXJ2yBkCuaVI20fTKKEIiprWgT0cA63eZnENprOtaPQxYCTglI
6n0npTzL8xm+WmoIlO3WRpdQ6Xe9pYGK1U8wZX7C+Hl4U8L2SH0FmIq18hkkA6DnzB/O4DmRWDTe
YjfdU8rO6ripGusdSUFPdgIv0jL9LgYuX8hWniOnNjmHkJ9J7E3kBmNynxnGSjZo2PDUuSGqPgtv
I6dLBlfpY4Cs0tpFgfz5XNXUProgEXrtIPY8xUHAZJaG0BbCH1MbCbrcsXIKQdHhJsrjs1Kckpcb
kwRj8Yp+0PGiTnFx21BxCa/iZsESSGp0KA09Egz2MadUkQkHAY5XleTx3tZaUqQiS82vau8wdCHD
PhyOJvt5/tWMo8WNeMRNYQOQMR6iT4t/fKM6y0GSYnSN28TMUQRUi/mCVAkNj9GWp9fUTpXLeOoq
KgPBqL+v/C6SWDjWYg4cdqwyNqn8QOFV7xxG0y9wa5gfolnLMhZ5W9wA0OxrK0rVGzWY2k+yPPVt
HIqpwSMX7qrg6cVtKGiRQRCtk6oOTxi1FJKMDpmWjH27J15F4XWSW0SKcjQKugasLpHWQagc8XJq
X0nzU3KlfjVIsjXSOrepKkQw487qHmLdWt3f2sWI3XawjHkXSNKCgeEY9/WGma3uSx3JSU8PLKHH
oEZpPCEJZqTvEVPmk1cMdp+IumxhLtmUb+7jYOa3s7wb7EPXz/DWEKBUIO3kkyyMELMdgaiaPbsY
//SaANBQXg5ZYp41jtiNZX3cLmLAjCU9qk3pnMam6+6nXI46D4GL4DQ3tZJQWIoy0oe6aP7kBf9/
cPwbDbRvoNpP4PiyLF7fy+8qxusb/oDG1u80B6gWI3hlkoowO/oPaMwrq3gzU6SwQVEwXpW4/6wY
69rvNFDJcmBTYZHCnMo/K8brS7A61o7Gyu2Qmcn/N7AxcPt7TEk3aJUJAU0y6L92Nn8gD1qRbMwB
7X5RqzfoGIRef3FjeLO7bCI38YbdJXaAaMGL8M52wXR+4eXbeGtdL0htJK3LjnnxGJKQ5qW7xZ3D
HxoxP0+NOPRsQF6yGZ/nnXEY/O4whjvDPMi9hy1Ze/XY+oxx7fIdaflmaY6sTlFpfm7u1PxRJsi5
WtUJNgWXZlN+ORi3OPAw9evO7rRhSEXxpw1CsOEXw+vdm55vcdO7ge942Tbam360jb1UlBfRjTa6
5nzsL2Im28VjL6KjfKXeZHuZ0zHEsFEP1dHcqlvaii8Xksckqy958pO+aw6Zr77Fm8Dvd48UoO8I
K2I9Aum9dZ2ivHkMNlrsx5aQb4cX9RKlYnGDH6avXPOwGuLxcPP46IjLi/UHGM3HbN/6X3S3FJZo
js2xFDPdNb7VRS5y8by5vw/FG1oLRxj9fn5b8o/pY10lAj9sCiQXMkUU3G2ZakAdR/SP0aaIPYvP
tsSXWNxzrUSyh83Mv02e9e4IKnWuZYu35kXz0lsI+6I45iK8mh0k0B8UtbiNqZ5sE0rtPaU1qwCo
39Tvy1beV7vuQodTuQ4ybBQOwvuOxk18Ct1q2+5QK7hGGk6ErR/lvnqNLXrfHvhj2tejdWqel03m
2V58DPesg8fJp77umV9QrYD7WG2UzGvJxtxiPNVelp1iirYwSG+qN310S130H9X12tX6MDb1Tb+l
deF172blNam4KGJum2bsv+CIaUjsZN7MvaZgt3wMlwb4bbvWWLapcJ4K4uUg5AeNs+HCXQ441vjN
l3BPjpFG+0mU0f5URPuXZtpHnz3Tu72g+5lssIq7kPcg22PzMn8Z0URWBclBgxFJvYv0RAyh1zH6
OG5rpDWPrewPw9MSYr195dzQwPWqrf1UXUZH9VK7a47jtn8wrZP05ryVi+zJduxSC8RSl7/Ih/Qq
8qRrMlI3kS7H0ZfdJj2WKVOGm5z/26itigam+CTMajserf06k2e4SkRZhcqIryqXWrvvTZiIov8s
YgFxXnHESAn9vn+NoJgcu+uWzygpxh+o1pXRTvOCQ3RK9smRQNh/Bjd8pPdG+BCn0/HA969d+a72
JLaAEnkG6H7PUimq+2IQmuYyGdB+ml/My/yCGYJ9YG+y2pV87YAnKguMrC+WfOOdojNrQNl6EeU7
N2dmdAOUWkQ3CBM7HWSInll1tSHiJ+WEirvx4kmzCO7k92QjOlGIYdvv9Eu442S8tmu8c2KUUDfR
pt+c5h1B3Q3TCwA/V4d+yOCFV9p18CBtUm99guEozU8RatqyaN/4XgFa/G71bLBvWO7wHNwkp/Bi
+mrafv0hva0zfaWLeUerbeppZ2yL8AntG3W+J8NRdvNlsdHdzezPqNKIbr9419XGuHiTRHvJYxNf
JF/TK/OAxbr5iti9SD8CsJ9P48p+yd5ySTQ79eUUXjqvVCDp3SQn9VY7xc6DBuJVX5Z537nKjXap
vtjHipwuLAUJyLu8V5ZL+9pfXGtrPwdCusyPg0sG/6ae9trt1nKVq+hTu7JPqLT78512uKr3yY4W
Wy3k8NZK95RU9Ue94YSaq4ry3i712Jb911dEVbBj2MviLtqVp0Pia+6TX4lIXM2eb9yokf+ueqoX
uu1XlJs9wJ2nPxevLxqbOe5VhZg3nd974yZ6hf4vbP5FcSefeaud4S7+eLxSN4p7VYjmsY08/Xo5
cAoQyFyMPo691/n2dbmX+ZWK91ZicNHuDIXD7zjbzBTZlXEYPb4Qf56OOBsLRCziWjjaXi/c9NJ8
SZkMPnSfhiH4a/b5Ym3P3+Kqe8QOu73A/0pkjxa1GUFbJ6ezc6yPJPUqi5xW2PCZqIeW4XOhNGJx
QeACu7X1nPI9fz06W3ifSPFBRzlgaR9c4y4IflS2/bxhursRpjC2mbGRMpC/O7E85Uv9PZRpihkb
zQ9PxvaFXhvnwMwmZZFQRFtWpWdtFZ+2t/b6kIjkcOfuPqV90XvqhXlhbx6uigWrSjewhfFquOm+
IW5al8pVOrrzKeYS9ZvaQ7Npu/7X+dKNRdvmCzGWr29tc1WE98Vrmruts22PfCn7Gffkq/EoCxjp
yyiiS6f+ghef9HXQPYsGI/xl/TrwbxzPGAlf2XaOr4dwp1fEOeMl4ytTlMektrU3lbTThp2DqDfW
WOXBdP7ULfu3AOR9mfPnL0ur249y7dW3P/7Sepx/cg/+LyEbrFLE/+eq6uVr1n3PNFh//w/cqOi/
Mw9lays78Q9CwT9wI6+sCoQGhcBVFERbqYt/4kbNhGnArBgEEdDc6n3yT9yoGb/DXUWNDBErPAB0
JhX/Ddx4RqDfMg0AitAYV1r6yvVjYHhlInxDwpfHMJfCVKLFRMc1ti1fHXWvNwK3MPuboqIQN792
mnZSstclOtn9Q19uO+ZyzDm6kftkqyWVOyXHnCZT296NAWCt3TU0xHR1p6E0FueKH9al2yQMUSw7
W7lZMDw1jeelujRjOpEceqzuVcQoQQrDhVS9l5HnSL4y78IHc7qRs63VsNboTFguvmX7LqzBHqJU
6WOUgVeWO2bot8RUMwjdLGoOJf+E0BbGMJR4cjo/oZBrOK/NR5YnXmMQjNtTFaai0z/08mQioxPX
zd1QgJOqT4TnROA8z9VKWK/flGC+7uR5L2mZ0DEqBf02hnaZyhABGG+f8mc7fYOBi6956FqEbomd
yYxNjFLIIR2/mTVXTt/VqjqWxp0cqNtoeJ208tGwQ38Kxo0xL63QxnKXB4/OUGyUKtzkZXRBUdi3
0I7CrW4vlXjA1DQVlWFThhoqG6Biq9qNJaql0+c05luSyMq6mWMKUfsB6rtevvThRYSItWFJQk6x
sWmuqCTgFBb6weqlGryzz+TzRA9rl8kfyvJu0wRzXhUTAepG85W8d6P5be0IInB4ovVzj6abn1o7
/Jv8Jk23cguIt57leKHMVbt9NfqSLiE81V0GQ+tmyhbJAT9K3HZS4JRnGJSl2yHsr6c11Oq1u7Iw
Uk1x+0hDMLemMdv7TTX41lRdaSQrLU0qqNlyNvoRunIjkvWKXftR/VpkoSslLJ1Yd+ULXDgOcdRC
bmndtifdmeOLSlYphd9ptZiSrzQG3ToJ3cJCdqHbT7YumuaLPMWeWmYu1TeREUUlNtcx1LYTfF7T
yPzCCl1Ti0TBR2lhuzfbrVSiZ+YUW5RVjmY+XFihJopgtQeKt4t9XXWGq1n4PsEMVLNDaD4Ow0sF
QzHPLjP6EX3Ed+BJWI8YGl+UvnfLInHz4iVdg93EStX2SfxO3dKvmtkbtMmredrsCjfuevEG4tIC
7W4OqC/q0qattQ20oB0u8yhRjXx7WCUKnOCOyoT2nqfxroAEKCYEHbOC2hg0wXpSwG2Tp1uQ+KwT
/A98d46Dclel03UeeN/shP+i22FBivp5g0EUDZ8UeE1IBH6/waD/pDpRF/dCzT5jkpM2f0hB4mOQ
b0CPi3oKkflxJMVbGvuo18l+tnJfGSK/WqbN6v1TZsFmMqsNs4GbITRFqJ/yINpAMuVtkAeUt2K6
XehF2l73sWq0xLxHqV3FKYQ+Zx5EpTEBXKaOUIeLMrpFbae0JHgLkTvbCjSVVFjalxnArTEyIj9C
8fRVnmZziNzB5hmvKYuh6PY1gmgBffbCbC9qSJNZu0+iV82BnxSJId1K433GlyhsfC4NkxredRvd
5hSajF8Nxv8gb0JUWHftby7qSmb8ZtfuLZSDSp2LumQPcpeedNj8UZWKZUInqfgyV4pbyM9wPxd7
q8yNP9e/Mo2nPvHzfdWR3TjXPJhT/aHgUAzU8ZGR6kWqWL5mJgJaWTp5YXvKIi8x3xZN5NhHRZZv
ND7Zj6HeYvxQSM+1tZ8CPy2v2Spk9VGOjzz10kxv6iK0t5njpWYsZHNXyT2b6fVfL8fvWZ7nC4dS
nsxaXL85FZnvL5zCiomhx/Wicd4YtqYkYuIkflxnHP/6QOsHfcPgW+8QB8I9BV6nqjNM9/2B+rDP
ennMe8FTppJDZyIPXXvaxvYurH91rLMO7XdHQziVUWFwBARlA8HT74+2FmMlNYjgsktHuzBvrUDZ
x+24g9u7GxDgKXSqxsyaKYn2PFYQigxtqxj7tPQNiFXpeJlZMDcKSjTpnDysbD0lzTZhQnaQ5U9y
KHkhcT5ai5eYomdFeZcgyzZqjxEP7xh3X6WG7mnFyGhW7+OBmsy6m/eVqMKrsX1X9HjbGfNpUbzW
Hi8nszlM17p8U9u9r5ENhvNNg1cPvEzPMT9ngwqthlYQDyZkLGEnJIWrICdMGSeovgy5ti/l6Thl
ndChLo7YL2GjiKLQY0Z+2Uf1vsJhUIqkXUjlf/nMpVOYtggeb23G/VgVIkELsxuulEGoZSvCXMVx
HIVxAqJdN24X3MvZPrbh0HQ7iyq1NrOrV5sxboVitdTo2TFeBhj0Y/UkGY9rGLbgxhjkqboptBqD
pXzZOVHjDvpdZVFqjicxy5fjRLI8f1UQjbVrz1yBvHQ/JzHmdl9nOz/IuU9n9DD3g0idT1v5anEJ
NNmX4HaNxWufQoewri3lNsmvadf08j7tbgcihzks3Pon/MUYFz9HgLx86nrHq22DCfXY66XKbdXj
qHhakroSfa+8lERm92KM5u2CErmJd6jJ06oD2jr7kIYT/lUTuyfdGtqqOmmXLnPqjugWuCqLtu+W
/N7Oum0U2sTPmGGRYfRQXdpNeuy1XeIm5W7m5DV4qA6hbel7ltS7WvPcZ8rFQgKlaK4T7yIIbRSz
k0DZWvN7wigyDD5f4zlZWxIhsa9vXCM8ZqHjMWXj62AzDldEpu80+j6BMeI0j6j1HkbzwCAV9sJt
ZIiCgktgPqLw4w99vbPME+w/tnJrt4ZUDUJ3PiXrGPBWKpqdjABrlpmuY14Z8VeYijdT6gcZnfOk
27L0Nri55+qzrSxCNXhbH+40JGtDw3YH4wJBMi+do4OROHsjt+AEmiI1EhEtsOiDgg717aLiF6A9
DMZwqek9tUfzoFTbIHywo0LUtMXbUHPbCOItVS3aKHlwm3ImtnSKAoUO0g2ifOOkgb5ocsv0juTD
MAMJaCCN1ma02wPSfmCYxFMhIY1IS9kmXHL1ttBplVTjXqF0olafpbwzu9uqGQR+ESPP1sq6GnVq
HSk5e/hMS4u1ikoXiWFZqvvIOQH/RvtjMXP0z8B1DnaThEjlsbavewO7lmVHW+Ui1wjiuUOglu6N
+Kmf7hkT2UsMQTljdJdmqliY11cKPNLV60CWfAvWZ9++Y3G4bfXnscf2z4m8eRwPURDerZByTFq/
x/c0R55Rj4ZNVL0X7VOVVhB+iRnpNUPTm65/kePoQZ9Sb2ll16xDH3yntTspuGwdP7QfB4tIifpP
HH6qFVDTmF3oc66kuLZdCkA3xCQxYwVSGuQWueki1cFSPWWIumoTa2W+hQ8qIApb6mXINtsOT7Ck
hR6zLqE+dfriM1nvFoxjzepzKR9aya8MnvkBndByX1BvC6Ruo6knZccIv6fryMk91lJ0YGgO0aL0
0RlhTQQwo2PDX1OJXsmuLQuGVD1vtGLZ1jnt/KLztZl62v9m77x27FbSJvtCwwa9ud3cvqp2eaO6
SVTJ0Nskk0k+/Syq/x5I+nvOmQbmZoBBo4HTRtqOZGbGF7FidLdVWm4NIhoaMIMp5G1nhXHi62Me
VVD1T8ALNtonJO5zGyOVktqLqu7Er7XR08uYP1v1j5q9kpEDlfDLLTOFE4MrPHgvEk/4QmlU/ljq
b2uJateMR41fhm/BMPzDMC/ntEI2EW1spv29IR+6YjmJNQ2Dl8Dv3djPjmRCMJghZIzDhqnhZnH0
LqwfWRqklYJYK5/M6SrtuUphJoVXnfFhTQjBvJWBmKRl3BUEpAPOK0ky7xhTxkZDb7UHXdb7Ok1e
HFrctma/dbhaETJm3e6w7W86Kp25kPYpu9rEquORdajgZBv25S5BYrKDV29+rNx6G8oSxkRzzsNv
1Jutj7yRTkJ2EAfAxIxnqw05ns9wOavoSOEHvvcbxi5XYiDMfBwnlKf+UKijMr9MI8vmcN1laEZB
ffLcW8yb2sYSf98b20wdE/PQirM7XDv6EVt5J44lu4LQug4IQdlDFTNeOkokaGl8l/pNcPZi7xN5
qOuFzbPgqi28Te4fpu59qV/a9XWq8kKm6n3NsCuve4erGYuxjvMXJpHbkEZJdvd7qZ/6ILnO6LZQ
XLSRScdZjuSXgPXQt4U3b5mvxkGbUF4SXAzO38PU0Sa6bHrVvIfZsVD21tDd1TDlDFv3LmfYYpeY
+slqTo1/UcUXFbxbdvls9X7sWj8qFKZ52bd5s51TZwPSe1sxgEoF5gsOJqm9Xd41vvli2SOrCg5E
aXZyRmwxYoeRgfbJLRam7WwyZwl4gBc8idp6E90v/GD5gnBmwUxzWbW5VEl8bxaOrq2/ydVWWywy
NvdoP+xpGo8DpP3UOvc8TL32UA3OUVnPS+Te24230xSEwUE/FL3a6zDatJFBq5WHcULtZ45Xafuo
5fU4dpuA+EEp2murfJSsyoNBkpwS5Sh443B/odgirrtnob8bxnyhzuFkMPiwbXdDEeUPE9tVN0Du
T6mV2KFK8MN8MZxxM0TRrl5pLqWOB7O+iSqxEczaRDHSi8Rx/mlyhrjCQqCrcScdzitc1q1P/632
4vXzhzPnozTB1UWCyxzipksOY50/ZU3H02Rd5Irz0nNbDxOSqdjl2tj55sao7S053xg/Q8X3Yy44
LrjY84rnCN+uwyf0cJ50S31j2y1ZrnRXssSUinkMdbt5W+JQr7a1eUyr/DyYjNnbmRFMtptLdnLN
lapZfJs1G8bmBK0z8+LK1BeDezlFVxnEj05XW2mXx7QWWy+4w0PR+lirYG5kBZ/Fwau+HBLXoFao
4tL3DlVvbcLG2yzVcu1w4jdE/l2ZHqGDcAMh7NAzFXJlua/M8JKuuxRH3uaZZlhkbjP3aM3VfsbU
3ZZcPWZ74ybNthG0XopmW4wvWlRMvPKdL7hSmQcZpBdzfSkLtp1FddMOt1XB9qPqd3o9ter6w867
y9gnJ7svBJatYbv65Kvxm+SRqfzyPCrrlPjJPnQnjqt9rLu7ZYYohl8+95dTxEY0jdbKq13gV98c
PPo0AsZdbSG6vMMx2Ntabgp+R9IHW9q9N3Nl4URh98l3FHpVrAwC2LvBvHLMZYujeJMY2d71v1Th
4zhgw01Y/uo3rmZXxNZsHlxikvlANoWG2wKaZSneJQaC1KiOLjT+pgHv0rz09rKvHX7v5nmpnzkU
2K3cm3RiuZTxZGrftx9JiTSvAHsbbwnNAqNrXXX5WxK+VQVbykkdpvnG0ZDdI1neGlN/IdkA4Kqj
rAECJ5e7W54VW6eqzh5+Hrb+byvO/2eW3/+XdOn1IPi/16XvPmZpbD7kb5aG9Y/8y9JAABq7Im5e
MLcrf/Zf0rTzD2y2eHbXkzLYMuy7/0ua9px/4GsBsQ6iyVttC7+E4EzcDg4eYbRslG0KO/4jafoP
4Qgvn0swbwWer15fxPDfz7RWuEg944bcyLbjlCQ9BN8BKZZclugYOxcDNr/CleAUgjQ95K6ZVzsj
6BE0JxtykqlHtMfJPofku78sua5fASSWU+wNxE72GBNBjidtJJ5ch0hL1Joqrjmv7H/5yv+NALa+
zV+O5uvHoHXZQ1nH70uM9Q+dBIpb2DnkVzjG0oLbOmoYGem5aL7JILZEULqHRrvpcTKi4mQupvlP
r/tv2c7f7MbrC/y3N0B7DUFTzCH0mP3+Pa6pqarHcbSRosyvewgXN8OUcYQduiEnS+2M2LuoJT23
RWgcgxEPXJoYj6WP4lm3zEmXPkA1XjjWpfJ2UUV3a0daHqa+iw5tKEkDufS17RoJOzetW+OZeLgR
Z64ffclHubg3bm/lPqkoln1vGsT5n191tfxdC97PXtE/Purqq15hO/CSCNf+/lHrJDBVgPNrM2ZF
+1DIPLpIbXpyvyxt5O/TZtGXKYxyzmYary6KtWb3VbjCicswSl8jNZUfQS9YkUztRBLjRjJxbqG9
2jM4K+VccX99dfyzluD397zWi1hEI3HwoHBwE/4q5U2OCzx0wOs4jF15sSz9fSjaBSHdcXeRXair
qpmYj0b60dYgLYJq4nyeDN7nXClUAEfX5bahZoVBQNodRI+r+ZIV0XjlFtb0vKRZ+DWR7TzsmqXP
sN30VffsLjWHfwj8Z9xw497xa/MuxBybi9o98DN2e6Ma/G3dSsTwrOg+6Vjqb+BF96+F7cw/Gicy
HjqrKs9BFo17IVr70hrSYJ7ocqxTuoihbMmrVtOlHs51uGvGqX4MPBV9a8TyDIFreWlGauuatK5f
jKBkImqxvvlJ2V1lCac2gV/7TtIRuYonTc2SWOkzS7R/aedWUktQ17e93RFlFcp5dXpbXHvWonHU
FA+BWuRFDNlEJiCo2n2BDfLRcYy82KaGOHXaq+p1P4EjR4HZDAJEM5uxQCKX7KJzeavKaK97D38O
NshoNL/YbZeiGq3wWLZSaBk17r0dOC7z3sL4WbMxUP5Ba8KMlQ5zzohJu/VVZsYiwqYx+cSyN12P
IBEW7Ws4G5ySfTXcdQF+1MIcz13RWfteV39X57Saz367+yGUkDJw1iAzY0aOw79fXi3Ad914M+P/
UE1Mu3UbxV4jVXdgJNVjlrFNQDQW8+E8m28nBkU3sx+8DoZtMDqjr35G/zZ8ylTAzhJkTZi0R012
VOvdD0qDyhHcb38DIvojGk/Ug8cVQ8m1qS2gAnQ12/16U9ShohGtQX+vWsPc5i1G+WhCdrLNOTpq
rqAA9/x3S6jpUCaWszOTWW6jMhNf/vr2XF/n15tzfR+u54TkwUm+gGL8/X1ox2hSbO3MAbTqnqKM
3zcPumybjrO1t/vOf3Jba9j99Yv+t8cY8XGaaclwwZaxOHGu0vsv6r4J2tg2xslgOmenapeqqXtz
gz75OhZ4hDc+GMLp4OXs04qiiQ7C9CokNj2O4ovqZhefT+R+6UYprw2CI9jxrPDK7/SWoSVnu79+
sziP//yOLFY3lrcV+onmve4vfn23PXbjmlEoviXGl7E3Bre8+c90XusbaE4UhwjsuNV3s7Mh6cz0
WPlXKgV6S2KTc5iUmYVqZX+0LsNYmEX9pbDJ/Pq9nR0Mr6RemX6Gz9oxjtjzs7NSQx+XXv3qzLC+
Xauz4owK+0fft3F8dJV5CEr3uTcStE5QffNB9aMDonqIHnuRIiBOCfW+iA11nA7BeAlN/kNM8Mne
WBIObJSU1zq1OWi46Hgap+5m6dT4Km2HbiYXNcyziHP0ozDFJhE+rkdzSd+zKJjPDaCBAzbhfifp
MtnT+9cvMWZ97CVT5z/KGe3N6FJxKCrJfjjDwxyZ0Ctll7pfPE5IabzQELVZcst/043BVKtrcqS+
uZiua4Phahz4CNmT3d959KbcD0atvrkJAXoeZ8XFbO1EcIRWy7lKR+ImeWsHFCAZ+Ah159ykno3l
Op8Ore20b75gLp+IxLt4cszujNyxz4mg1ixn83fSlHiTW8Y9oxuAInZRpWcJVODcE3E+VIyRb6tW
4UejYQw9VkwNDq428JojMxH3U3Y+sNnEJypojIysvdyBrzM6bXaoW2ciy4oBbXYNedQynHdhVqwd
ozXHDCtp2u3AATg0l/xUJdl4mTMq4Cgh1df5EJ5CPwPFKbw32xTOldOlL9ANjA1xKdx9KrsJZ3aK
XWUvG3OqJYhqr7l2QZUfcPVHeLiC8lD73Sr8EZoptzoB+uGokd/Za8KbIeyfl7lEOmyG8Db8Gc8t
6vImUHURC6v1Dghkd6Y03lMiAA9zTw7FyCUe1lYhl6Rd6e8wg/dc8vaBHHkLq0m8JYXT3E8TtsrS
X5NW7IWeRTdbL2yj7VOT5KQKkuLkOD8HdimB87CYnyqqtuOkbNuHYdbFla6xjRPieK05UMeUI093
vd/OdyoysrNRh+4R+VU8gdw6iFJNDGCGMNhiUCd9pMbK2qQqrLnC6InKs3piVqeHd37D6RE2/bvg
iHyOBm3fKUUQyKtkc2aZC97gQGGmtH3iBz7z4SqhwgE+5nca6CA8NKMmFKUdFTAbLe3z0kVyX6Wk
7P0cabrv0u+NO6DMYNHP9rpAFW2V9STqOUOPXbqbEbjxvO9t2qoGbpj7yVqKz7pJbqyQnELv9s1X
9mJwIUBBcAVRanp23IppYur1MWmN8aXu7Me8Tdwz0WiYBqXDiZkyT7FbMri2nGQ5pVcj1v6SH+BS
G6n7YfHQfzX8oTo2PHuew3Jpb1tpN29sVdPd4uTztXSSgp1xYQT5AU0A09gE52dXyyzFtdEFKKdD
bjG9KqJUvBmD7++Jj2Xf+6B3qu2QVvVNJg2MDo07ncoEYZFrrPtET/sadDWeLgAwsRHMM6aVyD9Y
RTJjJ0iGq6zMlltp995V4JEZCIPl1cn8Hw13PBKCPLA0RvvEtKvYgtRjl2MVV5HGzwyM5zBGgfuh
Mv/YRIxUzFYDVqB0OngJotUMQtwsYoO2ZNNLYI90U+tVZuRkbnX4WYrhduqa5OtcNMg5LgPDVtIi
TfekWg5j0iFAeaR0onYQxyifU476TXZJU9/kzism4zJ1qn5MmZHzWGhldijZO7C/NpOjWMZqw5i4
2ihrgP0Rzpr8UYLy2zb1jZF5RRuHZZjvBqXLb5nfFrHsl+o1rBPy0b3vfo5wRx5TOArOPLs7IY3w
I1LudJP7XX/khsZdF7XRbgoifhmF6wXsVUgp81npmgqyIhhXpDtNz1hPdC8OBEaKZMP633yZu5k1
ghBRf7Z4juUxDnuDO2CN5rctdksb4sjRFGZ1m5WFnaPtWyLaKeHY8IBJ4ennjJHqfuXiDVvtjSbC
nmNa36YRJf2WToCs/ecr5VPu3+B4SNyNWG+DmQ6xc9Wtiuc4WikaJukl+77PfL/5NkYoQw3v+KIa
4VQ4qh1wFolvLuSpXTL/3Gs7KYcQJc9jAc5zlR3aetR3Uz1LHC9k7Q+5XqxLELYhBovVXOLx8B0r
HyjfRH3oXR00Ng9i0afergUKRsQSvoKzn1TWTVuzZI9y1WRjyfUKrnDHBjE7TBluF03a8Zp1PHrh
xcvuATRXnn8KXSfOnet39hi7bEYKdsEWlYNZL2ALJ1bYjri1q+GbauG9+JW0Lm2e9cefb7WIEpfR
7ZAdZnuynlqzwu9al9alGrmMQY1YF4KB0yYiwIko1/bhdh5YqgSrzLVV1dLfNOunzzTGq8ot5oc+
ml323HbTPDfLgqvXTma2QE6j9N3g8W0ZQ+CrB21U+G8B+OJOTSz3I+/o7N1QQ4qTFSK+sPY5B0om
zcWUHaRY/yKzLvuj1H107Xky2S6OQ4+LiHgfgECWldjefgH9MXRx34Ttg91GAZaUMhnCOFI5F2yT
uqcxG/kgdPTxa8g2x8hpk8ed+GfSovycjRHj6NN3Zc+JaCyNKdnN6dQfIVB7tw37REaWtFanLJxR
c1Vqc7a2gWdELxGlY0dPF/myaXtbfnObIHqZlznFD77AOGJHob2PUljmqxUpOW8aS+t23zauusuR
RH4soZHfuFET7j07CUj7R1ygqd7C/TjDB2FIDmEmuqsjiGM1/WrbKXCnZlf4Q7mPMiPdSTXP+9Ss
781+cT9KPAs33tyfJqMmCUin3H3UaaZfxjJd0jFVGAMUzJBSB+LJKYte79zcwwk4WPgLOE2diYzN
R/JsxW2A5fB+BBB3s0QmYYgS6bQcnP48lVa2m0DqclKTUbR12Unsw0AEn5bsKFqjIbU5dnBqrqxh
hs0hsvKbDNZmc/tQpGaUXztzyE4F2MyRZigGZHOjbyoxmE9tmo4FMWffWTb+0FvZvu7a8csygEoe
nJaJ1tRYrCCiQPPPqs5i1unU86HvnCOqisuFF7Syj+tmKZm+pmJmBXWoH+1YpgNwGqe8dPEr+a3V
821bBK+B8ljiaOo6uCqkob+7YS63dKVZp94x9dkiuvmQu73tM1DTWL/dJblxC+7sGOrni7DdV/aY
j0GaYK2ws9jo2v5KzqZ1KMfhwXUCpH6H0eKY9p9Jg2ZPEba3Sbnib1vNRmr2KuPemGZ26WHWH+bF
uE8nEwNGylnS8L2ZuYQYea0Vp2N7+jaBPXLVNHlzK6tFH1ERwncnre27aoia2JwK5zZPwnrn9jhC
145hMkf0C8qyEBefWc59nXb5MwL8a9uY7tEB4HNx6vHDUAJ12muJuBjQoklkZ9m2nIfsSNvjS9J0
/pdRG1Es3aT/1mdYD5YllFwHA0mkxZ9CNoahe7CNdr+EuAUZ5w/3Q1qb+DhAP+1SywkOzWi7/PrO
t6z2niN7vgHN1KDA97v/wTC2mXJqpiBLhRcOL8mumVx8JUP4XLPtzGbz1izIrdSaE5tj9Z+S8Xo4
EnMorNda8UzvzPYB9tFjYeRPaYrzr8g+7NR8/nkS+/8i+N+R4FZ39F+I4E1JsfH33zTw9U/8F/EC
EzZ8TCfkbP9P6MW/NPDVnm1DPv1pzfYDa6U0/AsE54LJ4MFLbg9phf8N0eW/QHBu9A9Ucwr1WIig
qK9+6//Anv0HchIdBOdwyOZ2NZIBK/2p7vyqBASL1ZsJQ3NjaZdl58BvHPa5ldRiYzX+gClCNB47
0NYN74RYfMZ53IsHe+Sa/xuT2aqd/iaFoO2DLwUPQhfPWhvz+zFfud3USQd5eiz7eccsiDxd3z/M
YWL/jaTwd6/0h/gTNJ09j61txpWuvF2fREDn4DXdAtg2d79cCnf/fPu/iuP/7gtmhBExsEAfA+y3
vpdfvmC7aUvJkmTG9QI6oGgKsmWqa7ZRNuH/TbFvoJ8PG9+ecYUvk4adUf5nbPafP/Jv7+GPb3Zx
GUAyAjHxdqXZreN0bOVRVB5AYf2d3Lz+VX/+iNQpEWFF8wH1TEzh14/rzaqa2HfSkbbM43UDngrv
WAipbptMESU0qCn9fPjr7/jfvSY1Gh63A9htqCd/vKaxFK6X8vFyfkVsNpk9HtYl780oODaIFPvy
X7/gz5HKn58SsC92YxtIMl1Zv7/inHQzAF9kpcpWzWtojeM1pp0lZ1My+WLfOBrBvw9qG+tS2LNR
YJ9tnvq5D9X7vJhkV70EbXJXmX6PB62uQdEutLY+ymEx7upV8LhtMcCTdpzTRt0FYKeDvxnb/Lub
AJJkQEIkBPe8PrF+/aVKANOKyk0rDlzksE2fpOoQlVVmEtwbm7+ROaE78tf98ZUxpEG/i9ZvDDHv
95ebFxcEW4iLJF0o3kDzDuicSURa3zPawRvKPqEVW+WWRhlPiR1cBzR24IcAx0P0iArogDF0I9Ac
tMRAAZ8Ez4Th+gEbwyGASuDVznBE1XVqEG0DmDlqEPQTzVL4Lvnem2elA109LyzgaRwlY5XFOYV5
4SZIXKWOjBg6vFs11mAC1zVpzwqzsWfVqvawCeXzdnZCIk5By5jlyJ6hx22RUyKxNUdOK3d9w/70
2HaYN+KaAH2J5Fgs74BlOZxUOcHqmz4csYgFA7Ov3lOcNysvbfcC8xW4baCFfux0E0ci0WbU0ixG
+NVKzBqPOfcM8cGwAw2iQ3XogxEX2WDBXN7w72HcQkwZxp1tT0ax1aNVvA1mF92NDltLjItu++zZ
LDU3k1LNvVd0XnWYm7EJCA0swXM0tMmK6izt26CX3Re+Ji/BhGKP36hVYVw5ov/1uBcEiEkZJN73
CZGSlnFLCQI1ZSm/+u4cvGbV6L9B4cf9D7vLP7fesHyVdr7g3QQy9+YV9XIBB5F8ByA83aumD9jE
dqJ4L5ywCbd9zb6KQSE1i0Oh7XRbNa33MuM5REhr/Pkx7+tmjNulMR8Xw1hdCKJRj8w7wocF8YwA
m7LniTRGOLgkO8rl2Hps3jlbVyM2VDNcqO8LOc3SfxEAgTSiYE1PKhV89Wst8sNSGFD4chc7a+4a
xTW0i4oESAmRb7vMZqBuvUTa5y7PJgIXXP4PLJdBufMBSGMA5AjkLhg+ElMdfEO7/hnkheues1DZ
AitRNSmEHifMn2vR20EcMqQdSXhOhcIHGfTP4IUCBzZT5OI4WZH0J5ftdrMPlARw5FJCNWxElnsj
kZCGYj6MNa7M7As917A9cSonJM57aMBwZTp9n5hmDfqbRYbEPA8zB9ijg12v0k351fnJmaAZGuZE
/5M/Ea0oivYnlcL4SagYftIqwLsQNMx/UizyAaCFs3Ceg1K0ci5Y0wbUm5/8i9AP5Ef5k4rRuQh6
E1Qld6OWHClRRbZxSapUeEcb7iRZTz/xp5tiaXumgHaLf8NVI3mMkKIGf9s5gkthCGfThNcHNaG+
8iZwg89NR88yJimFQbH2UScOM4PW+UYgahg3dk8v+6tmv6MgF3aoWW09aP1dyDTXp2RK+dcmCCby
RyCmdflpc5O5MaA8eWlcysJfpC9SdWsPdpHeohoiJbIta65cDvUSDn4ymvd4BZxXzxyIXi7+3PQH
Cm+N2By4OtPYHFsCYXUkhcUoKeqHC5dA9GoyUvRPeYd0tAlqj5IWG3lnOWmNFoFEl3MF+1Bktrh1
3MfaslMXvkzmwNBqI/NG2RJsVlqYhOKHbCY81HSRMR4ZZnJMUpbJE4SHZuNZr57hpHcY7qZPyxsX
wstVCyN8U9RCdO+Nj7yOlwvmSW3epLaCiLmxrd6rroQjuuDYkCsjBMcExK9Jcfed3VoIEVDZcSkZ
44x73pQlnvc+yRwOisKoTAX/NfOfytHD3BXpJWAVrD2XMGjq29ONPRZVdZjclotwtKlu24o8GcMY
8OLw1OHPSI9VDlcT5GyohnjkL3PwFuridfawj22suQ2BIw0j6qdyxuTQCI1vypVtYR/lPMjmEeG1
gliQ1/5LMfrqyVd1dG1YPRnWwF8wxBeWIKjiuckVTel6jy0jJdDqFDHkJL7XRbXPsnHEo5tq1WxQ
IVEbFlJq+Aur+kOkaz5o6qwNc9j5QaatfGY8R/1ENBOMnUL1Iox55HZeRyMwfNBDht1k6Jsy7fQl
z8uPxhWU6nWM/YGStQve9R5DqCxxbaWR2rv2FGA7SxD3ByOAVdFX5ZPMlILnMlrm1Qw9oQOFszPh
FCxT/iUBt7xFqwPePaaDd6TEINsbfRS9FSOm6iVI7lXr2tmxcsLrIorEjdkPwa5JcYtGKcH7sXbo
CDTfBZuynV1O/XMI533Tzv10RJhRH57K0aBcKptx5itMvWYIFQ6HtATiXqb7wWyPIuheuyVdKZat
Dj9kRfY3aMrqCHF7PBW9KL9E2taECF3mOQOPKObX4Tr/4vkBwXXeta7+irD0WhSiPPZE+Wan42Fv
o82uvYTtHn06v8FY01JO5kh0itZhWmuJdxc/OaMBKgGBEAfi04qmExM8cSxq+2s4UXcdI7m94xs2
4mFGHA1kXhyw2ZnAyHIcDq1oXoWe/Fchl/bJ4fkGDnIJ7w1K/XYVjLeNE4w/8rT1d0aUXknZfUU6
6reqK++b2jshgOUHw85fAyu4m6JcH8qK9bhYv6uiLAc6eF3cqP08Ypw1MUtbZa1OIu2h4HsMujLr
yS4dF8EGoG5Udx0ZMhkccyCE57mgN6nOOgAKBuWMI7uAagPS23wTmTNgYe2T+WDVtnPJwxpEYTcv
xE4hVJM6UqA/cNC8u3WXPtZ0qWJNNofO2/ZCh/YuAHrHgMjfDx39uexZn2gDsS5T5rG22F19G/p4
WrMIdpiNXi6bz3SyL3kkzna/GOs8Qp7CoVnOTRLcZm5DIGeU1ymEwFgEkQGTbH2ATGky57RCV9ct
FYM/2BOGnwHy6LaKFiy5fqRjGjGXq3zxJYGI0cYuT8CB+55ApFsbgKHhRZNxUPZ1OpO+mEtX7Nyq
OGmLjYA3ObdjHnw3R/7MUM/20ZM5SDvzx1TTb5rVwy1T/SFWdXiAOydjUNJfBSmfrbuE3aZ33Nt0
StSb9qRxcpf0vgBziG06Z44FX4r0fWs094tJRsLq4Sb5S7l3ZNDvqxrGTYglNpDdbvQ1DuJxifUk
7U1mDDv2fXQSYw5DMwzVLqvne9jhALaC6j2RKnx0autchKSYDHM8wDuFPSLCG7CTmyFoP9xIcVwx
5CNW2NMQzbFM0rfBgbw2NnOsuv4K4creYsv9qHJWMkQHC4+VuFQl5tus7RgddenVKhZi2+bGGKyv
YHix205NGAedZR5SOhViaHUh5xJNVdhcZbtI2vyfVeKKQ5LnzvrdZ/5bMyMWm/P8g5oG7AjEO+VY
LXHWf7YVaGtb2PVW+lkMdw7GYjC/u2aK1kXSbjEijOjhCjKYmxuXrS/zgCwJN+WSTM+hzjIwZ7PR
H2rAyeR//GmKJ1Q28Ia6N1bkPDPC2IsGInMDu8S3xAORuEnddP5kokTWVQ8zomMnIC2HEAuPVLgs
9xnp7EeQkfVrOvl0cwSw3/nWqqQilukw7dyoyTa/B0NKwCb3IXHGdBLlXVxmPtMksVQDYApv5Kuv
y8mDTdj69clKpQ1jwfCW8S3qgiU7YLruolO7BMMlV7MAhi+wFRTI8SLuROQcK1OmZ5u1ljOd8NeS
i97WJ7Moo6OhQZHFyzIyNKzhGwYbRmDOZ2L58Mo8s5TZLnec/gdfYxmwGNQ49tM5+tYTI2U0JgA6
wx0LErowEndK99ShBu/RqF2mY/XsqVOLd/IiEXT4Gg1TPOXmasMu08B+CGfIv7FjWPnFBONdbPvA
CT+wKVjLIwzw0Oai9mSG4cFnKsmnzMUOab+j0R0VnCBtKNjj2t4CmEW4tiW3CpvdC4fcx7ZqE6YO
KDWMLSCwMcyv0xygTtLyz8pVJGlbZaQ/WmEx6R9RUqEXSaMdDsirDFT90chOFvP7dyZX827yhP0y
AJ6z9/loyNcpCqjK1HPNtxTYPdrUxMBxidsw8a+z0hlMYr6q579OoZXhzA+gIHnWWL3AbM9esqTi
QoViFDxZoWYZows4hMXtJwomhxD9u2xlznc1VwAsxdpk285BfZfOXeTuklGkrA10lfHiwVC+B3mH
50XVVnskmTCPp8F2u+8CvPd7NdXqHjvs9E6vcHcqx5Zw/tTUnbMLysh7HXpMY3FZd8uhkLR1sa1e
Ah23E7rYxs4jf4izZbQ+VZpFr66IeB6V3mo9gPWfLFtn7v1n2RpkYXsuTIIDTjk9uEHXfCtUheUs
SDoGeqPu4Fg1bP9h7feKg8noet0uiqRbky+3mu99OLvvJg6HJ8evGDs1FLc2caa8VmyKMOrHbTAy
C9qnei5bbsV6+uazZWAaXstUbgZGbg9uGQz3ifCq7Cx5kYdyYnNAIYww1MGlpYHlcvJLAuGSUUPm
hMunqLzmfjYwc8Sdl5QvorG7r6o0l9vCca1mvctaj2sh6Z6oLx444vqpB/eHNAM1uzgSEJGwe+b4
RXwt42FZEmcbCc9992uBcQGrWfbVkBiIWHFFBVtVeRKsDeFwaEfaucccwmnHHQIpt2wRlrdwAQ3J
MhPQ0CkHNdcHabfls2b7Hmysuqq/GePoghdI+u4B/CYnUXOpG0A0PGmTHYUW5rdOUAQWi9mcQIjb
ie/upgzL+07PM3vPZZnmIV68eb7OaJaYtoS2jC8lqW/rf7J3XktyI9mW/SJvg7tDvoaOVExF+QJL
Fklo7ZBfPwvsnnsrg7zMqXkbs6nuh7JSiEAA7sfP2XvtjVxEDbcip6+6GfypyxAviAmaV5ZjVTFm
5vjkhC2pOPHIfHJrcl8fOOOyXcRjGqGZVbnzqJEZIoGhln+fzx4uOyCQPWcyQ7Y5jhxdQN10rbLZ
C9XW56Ef5ugwm0iSxW1ceS6Q7q3pGKmZDgtphohYBhXMtw5TnHiDaCn9ILBkeAQ52PGDR4EqN8IZ
W4y9y9iBw298YFtE5pQIGdv1DCTabPkODrIH+VSF6E5pr4hHP7bAuVlwFgkxQ0SaHZy6Hd+76Lrw
0gR8TUrpsnmQSxJh1RjnrDsR6+kVRyvS+UNrpsDeLlNn4SjJ4oEogljRJh4yg8bYGzuWc9AgDQez
AakSbtDtWLv+xxBB2LAl0YY+RpSHxH53Msxe/twPvHTL088iZQMIHxJbup40el83t9zKdmvm51gf
ysl6XJwaWRHtn4JXp8JGqPsZ8zPCdqoV32LKxkm5uqsnER3IPRHPKefI2y5aYnn48wf7pTPK50Le
vsJcwLlo96JPmQROl2WrJQNN7echSXvqc+wTVR8le+ox6/4fX84m85Bes6JpJ+VFrzuLmtbtJzfZ
BegFdypkWDzQZjhBr/nhO4F+o+974YBf7zqdZomCX9keQsoL7aStykgllkPmxhKH3UtTha3/Aeli
tbfjWMxf1FDq/KUkX2m/OMZ9o6X5m/4pLRiqY/optmc7F/eWXMeKfiJDhJk1fOOzjWDwdC2svgif
/uF99TBEKOXiZgW+CA/h9eM1kCaBuIVLTS3mt6bQGSZr9CTSuOOpgVSy//P1fvPV1i+F1R+lDwLZ
i9/R67vcctYmvvJAtFmEoV3z3rMSC/EWaOKXS+G7oIu4JlYqDxTRxaW0Hr02jnMuFUEg9yyKGtKa
p61epPN/EUL1f2bQ+X8tqkpJHv3/eUD59MKJR9y+tMmrgKuf/9Z/GFLqX7xHcERtvU4C0Wf815BS
AR9lfskfoOTx8vAD/Td7dM24Zm6pVgTFz/nl/x5Srlh+/lMYDvhZUWP+I6POz+Xzb7MDPiiLKyMl
lNLMUAkPeP38m9QpFQxy+JXeTMKEOyXHAHkXduXO31V0iI8q1nuQ58M7MThH2SRnOzVEfKvsOU/V
HlT6k5NgkXZwMNy0lfNBF8godDHDBcGmu4+DJtq1g27PxCiNsL9DnLENYsA444zhifB7rmCgq0Gn
IIQwgk6W98ODM5oMQXHyg/Kjh4gStqQPe7GXT8StwL2PGMyz6W4ozU6+032uo/5cNl+ozEZCMdxi
J+zwuRjUvwkk/39M/8aYXq1juj+8BcNL/vWl/fb3Of3Pf+Xfr4DGdrbmSzDyYsbMJBy32L8D26T1
L1Z3CLqKaE0fihmP339eAd/CkObZDPfJmXc9Rlv/Naf37H9pDk0SPw7g3p82tn8wp183k/9+A5AI
8Ojz5DNIJhlu/YSv3wDW3X7JOouMCa8bSbT0eQ/IgEK7VE3FqgkjLco/9F0EF7NKrNzciKGQ3se/
3bD7f1/v1TB7fdEuP4a/hnBi9ghs3+Me/X1mWLIbdwF20T0RgBxkw2myg3Pl09TZDLD7vyTLoshg
8Or8U9+4ioCwljz5fepiBT/1dRPCZLE8QAARc7qtHUfdlZu1TNWsucHkmnp2Gb1Rk6xL4avPzNq0
5tvhP+RzU2RcLB5pugSydCu992MYJtYqmkpCDu8VZt3rIVLO3mRh/NhRR+5Fn7pnfL7ZJm0wn0aD
i4YnpTO+8WISrN6QIVyYUNa0dJvMScg6HO9wYvjrR/+bNqC3uHVS4C4hhqi49mZ32hDhmu6nWA8H
RsEPONL1uexUt1uElCAPnHaXS2xcb3yS15XUfz4I+tFVB4IV5VJ6kY0NSnEsAnt7CeiF2EVYfp9b
kd87DfEWYeODeifwc8F7DxPyzw/V5TP18yZQRAXsOihb/AvFQBsmi6S1wO+D9s3aTMOEdDUhfPWQ
cShayWQO7OOqgUf75wv/7vZjWSSKEVQBHchLwFTXIxkdAZ/tywj/QCGmoNkIFDenjmBESvWxaM+Y
J7ASAHx4HHHkbIhALB68DM/VG3fhQiey/gSOp5jC+kTQgF90Lx5TBKbYwZSl9qoWhh6xJ2hXplI3
5LxZlcfR15RVetWmSFe2izvlLzUZaHrr1k301nHm15/Epfhj7WJj54O5F6/5SDr6EmYoQv3Gnhk8
Dl1zIJg3vI36LCo2HOvDz6v7EoBSnd8ldjgjq0ua58GxDjlWv4adcq4/t/YkbqYUkM4ciPjULCb8
+Oef8Nfn9ue6iJwA3ZBLyvvrF4hAOEIMLbS4yCQYirIrO2iSJ8DYCP9UHuZ3Nql8T/NcR6c/X/nX
h4fyBq2Sy30ilpMw69eXrpolHNqmSw4+jtqDVGvoZcXwJd2MorY+J0WnPso+X34g3p9OU+XH15M9
JYfM98wbyDG1XuvvyzLHINvXVFyK8yf/v5By9GmUWtMcoR1KSGSnQziRRgLzJYxvjM6Xx7IIyvlK
sUJDYydi9BwMDZNnk4Cm2BmAQw9d3iAWLRshh4/gjJCkRAAh0McD5SLuB4qFRvp7IxwNLKVSxWRw
cVYeEyEvh9aTzROjyTfu8Prjvf5WGNR8j7eTkyS5PBeKkTTXrpPIjPGYY1B29GN/kiWMR4a4CWMY
cOM60zODP5X+NdFiAP0J+uONT/H6BM1rydEOwj5DHMnOxJ+8/plZkhluVlN/UG6N3akzpBZtgCPJ
28B478sit49//tq/+THZXDl3Kcpml3rj4oo4xadazpheJ+AJny1dVYfMEPugrLz0dw39wW3d1dNN
s1T1TVA71tXsLPGVo4z3gEv3W6em/MOwuHA6Zpo3dYWe1AMgFcu5yglt7IoTneYItrFTVDYTJhNC
xRDeX3/+Hhe+0PXO8T1wHlNVsZCoS2ejFhpjehYOB9Nxwti1tmX2btV3n2wRNdeVHJwTDU7cKzQE
T/USMWDgRP1ET+lhtnEJBHHEADZU7qPNtrd3mKtsGpQi78JMQ9tgBX1jP1DrnX39wCFRYM1b1z4X
s+Hla8TEQcymHQ9+0yY/aK6RR8Ws/J0z5/NDHMbqpHhhQByp4tET418Bo/0b8G7prosaN9kv6YzP
l0HCc+W75p2qNPRqoWF6YyidPy648DcYo6d36WTee5HIzvSsb4VOU3BeHlusJYbhbsKd9EYN9OtD
vL5GIA589lnFD/L6IVYG6VBagnYNewvbEZP8/UCz/R2VHEGI2k7feIZ/vR60Ruo4Yiu0K219sX+g
T9FMD+Cnq2kqP2kjvlF0JB26rPGrFSUme2Pz/M310P5xRGQf4DBqX1yvrYfCOFk/HpLOsaGdOdl3
sUzeteNgSPLHxnljwf21prQ5jmJKJSfOh6NsXdxQL0tLP8ISfKg5TG577UUWPsriacTKTkNogHUU
s+80vRj29uhJCuEe2QdmJkve9yjAnrWxra0xk/vGvnR5UMAzReC3y2F+zQPhxXr9U48G0lCHj/EQ
5Do7hnMgP6wiu02Qu/3dZHxsKxhwvxszYFdQZbf/81v/u8ujVF+NzD7xqpedqqopbNJYKyI/rGx6
b4lafqE3SfpV4Zu96Qx2MGG+EQFWX8Wp8N748j8bjK/fYJ4Bug30YS3bpXp5/e1xz5eQ2J3x0FXU
LBu/D5xn5G/M+BiR9wCeumcsxN69ibxzgof53K6iLj075Jimvs4BRNUhYRgp0MGkL6P3//DuOJwg
paa1RrfS54/XH88leWckbk8fXEqBU2uvCWtRFd/kqmk+jY5GuACsA6OIPpR5Zz39+eq/lixkJPI/
9lSYIagwL6olsoerBeaExmvUKvEoUDa9Hy0djHcpdid7l7eVK7cRKFyIJ0gtgLWtLh8p6eGiquvM
Py79+UDgV8C52C6N6stTbYRlzyoQibFOjGtWhmHwH1qVuZ1ENn72pLnpBYnAf74NvzyiXJR3hIKf
5hQPw0XHsVjscAq0tDFPdwAh0mCQP4zjLMe5cD1UaGPxF3ozeTLgVJBJClW/UVKsnYTX+4zDd6U3
oHBKUroGF4/BtM6n4wE9kwk1U/KMQRaY8gTT23lWVnPVYhAszjPxUDCV+EduYjFU4702ciCHIG0I
y07i8E2Sw4WqmR2bz+VSx3MmWn8W5/L5cGdlpOq9QwjhhBFzjhBqG3h0z4CIDUsMQc2pJpDGgAF2
ZeUW+pgMXQcpKzHueSqtAcTUoHxsVLKCZ1lmM6cHpl6Wt6uX2HlKkhHAsUj6JTx2oyK0pIzFNL51
f9df8NUqAEyBzgsnWZqTeAku7m9bFbkEmkA/BEBLeFq7Jcx804aWQzyQDbYJy8h2t7FeEaI46iYQ
76VnbT1k5Nl+ns1scCBG3TuJHTrf1pana2avM4j3f/oo0tok9EmxatF/vTz/exgsclSz3kHQ/Nll
+eycTW99bFQe3CoCBE8E8sJHr6vjjMT08OeL/7JpUuBQoKH7d+h6uXp9T/7WfLBpu2MmS7xDQD4z
INBouCcSGXAsicEbCwfe3Z+v97N8ev2zKA4n5KoyI1I2etPXF6TB0Lky1h5ymLL/WguNZIozL1wQ
27oJtbAr6AcOGmpcU4jpAmufTVl1VjkLkSdMcVctXrZzori71sWK3JuTBm9gTjekiBb/U+zViE7n
jvpqTswbJcbFiG99ORRbPRhqRZ2BI/ZiY42RyCLaSaxDyRN+p9HaPRNR3V1XkYw+kLyGK3wSMdk1
yWxugpl8A4mSeVdPNeJ2HIXDoXGzqHyjZpXrs/z6pmq2fP5gUEPn3l5/5b/9ii0tk6peNLjDFlkd
nLUBr2VD6iF+Yaw7H0EqWWucj6zjra0Gt9oXfevemEV7V8YJnWGD1hfZBlD79jaYoTscxkLM4/XY
BMgPdcsM/aZWRI3++Wn47QfHfsBC69L2YMr0+oPzJCikYgQaIskA6tkEaCf2We9i+fTc8HNpGrjm
IaI52oe6J8UrlXL80ndgDdetGkqJIwYJcbUrZQHFOfJOfQjRgibAWnF3snceYs8G7vLGB/919Wa3
wvYBdGat/S6HY2NtvHiWcjkkjYUSLNLSvDiZ/07mOnooUbUeisgXX+y2Ew+Rirtnv8rT7YjP8i41
vNj//OOsR1MfXLutoX9dHBeNHjh1UPMfXA/IQRTqAZntlEAKcbrbsHNraIixd+VDk7yqhIE8KJfi
lj85e2qO/j1i+x9RYL8WYFANqHFWTAt3CD/X6191zqtUFd1EhZNUx1yHc7a1inp8FHYcrm0IdQ3z
oD0Y01g3kdv27ydkNbve7ob9QpDotkvb5X51oW+DbsjfKNt/swJxAvIlN8thl/vZ/P/7y6JK+F2t
1SwHkE7Cvq1oX6NwCJP6XkxtDFVSJ7H3EeiEOTpKjNbBF7MmMT3AT0ngYiEYCE1eJW9p19NLDh23
hhoS+hZZi9kSF1eLAk65qz2gnLvGIc70kC8JZWbCqeWtW/2b55DBwlpN0hxhAbi41agIM0jbgzxg
zSZ7BDUEx1BgMVMaiXDFKCy3WlFHjEP0LLgn97pN3ZPG03rM4G2+sT6qXzddNrKfQghnTVy4bLO7
/HoxMiN5iN1iOaf4Vu5Kw6+xk8i40dxoYC0zUsySYT6BqTOsYquz7v1iIqerGayTMWNDIgprBSeT
COFVFesWdHzrgNFN1oyJXPfi2XMQSXZFnH5pFNjSKDVfk2pKP+eF5354493SvyyuHGFxSLFv8XrJ
y+NEm2azyFo3OKCwkO9imelbtwXKHhBz+oLILMVo24AFtgBb2VYYfE/Q3fND1GCi5/jRWNlbzsXf
bEP0xJgasMKtnbHLHkVa9XgTmLccIhpFN63b1dB3hYHbCYBfDXI+IiVEqsiudMe6MO8miriNaKW7
X/gq7xbizN+oYn5pm9Cx9n2Gxpxu6JBdrkBDp5sJjxy2t9lxP86wXrFmONUtNT1oKVGJ93bnFac/
/za/ed5o+VrOyohkckBJ8XqlAX0OcAb1Mw9PZB9pfKoTuk3vmHbFdJRxUVwHfIhPSZum13VnuT+g
m77EDnaUjVsCicp8gHMCcAn+II29RHXunQig4WeLtFFfo5Y7kvcu9yIV+Xkp6/C5GlT6zEZz0wmI
hW/cRfmzafD3rdzmZ11fZFxCOFRo1Fx8I9Jw1y3RIvi3aYMtIdAuAljGBs9kC8/TTgz16hpgIhHt
WIRrRCC9Cs5TYTo0VjNHzk2ekdGM0UiP9YeShJFop8p0RovWDZa6my0NXdiyhqn9Msl82g+MI45L
ObfkgafKjnZZ6T47WTxDiJaIDP0y+1BNFpaIPh62TU3g9E400tQg03Oq91Q3KPNDXhNYj9THPbUb
yKAMBxr959gbIeLG9vTFIbEESnGWSLqaSP2vdNdF436oBlJU3AKdlO82YoGngM9+V7ZORUHg2nl+
Dm1rvPNULkgXcnT4wK3DdZSmbfa97ROdHkQ2YQXKYdIO1+QU1OFJgRvCraZM1/EFRZ+dqRCyBxo5
7Y9EqREPGF9uV4zzku8YD4xgTGS+wETvmjsMDqm1yWvsINtqEt207ccgQUGNG1FuIfOBQiSsQVz3
oWk+haFdu1uL6S2nJTGiLaxCK4AJ3lds9sUMWjQk5QqMh9MM5y5fTHvA/kWKShh5NgnJrX4XdLOw
rmTFjG2fLXnswsb0IXXHTWGFx9GYWh511uWP3DyWwzZbb1SYQdjmbcwAmVeu961oygKK159fsV9G
UjyQnMmVQ1WBAoQTyusHsm5c5Hws6fuCrOgrsJ7lAfop7wsCi1u9kAi/mae8Pkg28Su70tmZ86N8
47j+S6+NC6i12bYOvjk2XyI3LbtdEDQCkp7T2pyBOURXZepY+9xP7iKgj2cduU9+h4B4YG2+RkPu
EAoRCMTsFmx+M5M5TeLx9z/fnMvT078/FTWO77rMJi7ZsXXD6t8sEWLEuRi/59lESFnvtfdDH+Wf
ELdWhz9f75fahRWOkxobrCKChatenD/qbIhLtx0IwYXEdJOSg3aFlyX/7A9k6iJJ592I7PIOnVh0
7pYCAJIVD+sxS5IM4mYS0eiQxssHFz7nI6qd9MlB+Yud1nNvraJnjcAr421WQOnGhlhnvfU0odW5
2E5tCkPpKmoNxVbBnvn6eQrsyalVD/Stlj0kgcr2Wv/c5A0qYb81PbnacxxfhSRbd0cr18tTw/MX
bbx+sYLD6EhyXSK/G4/ZOC3VDvE+MG/09dXnBOIcel2vOIPdgKYty856ibKMunso4eoQfoF1dJdY
tfnQlva1CJ2oOIYeOLyrpuvacptkVTw9xIW/qiNV76KfhbT/KXaXkYXPdHUJ1STBbhHVVpKeujEy
3b5Kp5Bo936olnPk56Uhwiyc221a+M7Ver4OdspqpYMvJKqGc7YMxdcaGFF9SHOVLfuQk8RXD0hp
DqIuRdTnYhisd7ndAp53E7nYV+kSIiCSfjvfLBmtMfja/F407dpvLBC5eaYJ036N2xKmD4EhhG+x
9cniiqAdIhGmgbEeRgbt3CEdrnkRrARRRjos44uN2l0d7ClNC5Y0l4Ta3l0HTChdyujMWAxPMMmN
aAJykxgyd5s11KhWlkUayITEFbhd4o8nWSd5eYW63Z5v07ZAlViOC/Gz1hjeKph+29mql/Veq8ew
ImAdcL1GMAyS3P6LBcgHMxj09dakSbEDNQtnZeEMAWy90Cf6Ys2TrU0pTmG1cJbQqUNQAZER3btR
FDUyQScjzL4nXIJ4Ktz+n/1EBPcd4uh0G8sqs/ZsRQHg+7JbnoHateN+yZ38XlSGlACRDcPtVI7w
HvFVdRgj3bI75VNKrkpIglcLJFa4074TGGkP/F3SlJ2YxvCmR7ifP3ltkdxR53vx1eRHw9GDIFU+
JUI1KE6nvGuelSf77h7SaDkcG5uNaT9jwvuWpZxdzxGq8GZPOp/tgocH8y8igxswaMpSbKtCtd2B
bnk+beLBpktmkqS9xm4zVzDzbdfjPJ/FCCSqLsC0n7jB2NzrIcnlVidz+R4IsQE06XMTIBHhT8Fg
kuI64qBPXHZr++ZYp+k43AxDJvmbWda3dPWiKjxg/fPTQ7XU+WPJNjvsdJnMO6cYsvK+kwayc+r3
+PStCVPFjqcRse/Ye9Ftaduwy8JlSh5LDPZA/XofpqLq9FI/QRhx0dbxbo7nBPMJDlnE8eI4lY4P
Z8TvPcZjeDvTm2X2QrPnBS/41rqe8uOiMB0epTsMu5GGfvE9c4AJYjaxYqB8NXq7Ld1RvzkFsOim
rUxEr7cqaSSOFTqdNjK/Ouu3MKTk8o5Hj6zsYrRJZLPjvD1Eopm9gwtD+0Z2EMROBf4pFnVOLRzy
xuDLqGx8aoUk1ClOvPaGH7Jjzp7107nPxJr66ifQP8vVC8iCMsy70sgp2oHBYxQzMgV9zkfVsnv5
WA+iqPcwzkv2zdtaOlmxsSNK2YO023DZwdDCmTrj74Hg1nRkaeUqlw646zl4Kjqg+FdlMTtPpkvG
b07b40ZoqqEAnKQR3R/UiA+RqEebKZug+9htmnZpP9v4GpxtPeA92Q9dLcuNkHkFfjqMCJk0ViDH
s6XSvt+PY5t8yMbe/z4ia/tgZ23ZYI10DBZEB1nAdZOXeCv6YvSdfTSXJSVzP3Tl1k500OOaLIC0
VdZogBxW3QeXcW97RLwxLvTzxEKeUCRs/5gDTo73K68sI35ombD+2mVtcBjwRQ+IXagYJ5UlHbDQ
abpugiz/K5W+KPbQnpwUqYOz2A+WqcmLt0Mqvtxe5Mi0re3cW5K34y+iyFDxqD5hnaicmGqFwXpr
9g0ZMADOIo9cLlzLvEBuMQa7aDBYBp3cNw9W05v3S4dZZ9thMEjJwk07EhHoF6j3ge7sH9xdp7wu
OGAp3M6x/UFAGiX6UtnLzTh23XdcXB3t5mXw8732jCGmCNgqRXBCJM1j5ASCdAoHq+Bxmnj1SYSE
kL5P8yl637c1wRw+Uzt9dqNwOgssxPhp+6Z6gjqGI167pphvp0R0PQ+l42aHXMgRcF+woLtvPEOR
5lsQEHCGss849NKIRBpiqOP0kAzch9af4p12KmeXZaKJTomxsJzib/cJbwaODKG9A3cJ9boorwTV
KU6GouXelwumrVkVGNHc2lLPmVd1yVMoErbyPh8DwlExlZpTSW1KxWb65zqAh8b4OXqYM97R/eym
hHiT7/NpgAg2HTPLmvvbueqmJyy+BIJ0hdLLO9x/o7uVi4dpIutsltjYXlzMvI1ZjYtNMno7A+6F
2i/F1b1dGgtlRiqhv8cuDHP26ER9jEEWtxu9BIm+5jkALVk5uXkcBy9ctq7nAe9ChQdoL58mUgbl
pGv/gdnBVB3Iewm+x6nPffFVQ4uS/jBWKTHaBJmkseS/4piqPk+DM10vwzD2O39dvTbtErELGioC
orDnlnjPsUhovgU9ve95RFK3y8YGF06Kx7k6GP6SPuWrSw4DTYr7VpVNhU88zj+AOM7T65G+93xu
fQ9UeaaKkVw8JtNXicmpdfzcxo0MoBD1h4CchJu2tA0QCcu6yxAXIl8utKL4ocS6nr2Ko9qQen28
W/LFIUG+cMEvuoKI2D7qpummrn1ms0ve9oc6wSaGpZ8G81WYTWyEJZMQqoKEhpfuFvcR2ZEhj9vJ
reC5yOPRuisYm8XXhBO6X9GuBeAmK4WPiLQkYsOmBmf7tlSNeYmNjcvQ6TVX45S/fPZE4dX7YQja
YetXS0fYG/4iswVYSwDVgKXtMZ3dxRATJKZvIGGtF0/mDxFvC5+r6SVJsWKhwdSDsCSst8IMbVWW
fgjnBVTk2uVG0scESt6KFNMIJPgMYkQp6Jd7wTQIrhEQPZgNWUFmj12JhrRiXJhFg8tzE8LRvDK4
4sQJCC33xpJF9B5LFxsJnbj+NNpdDGwuKpEcKLpasFPrKiDO06BqOdOTmc5VFSnzuOBmFxtvaezv
XhlPQNkNZuWHRbReteV9hx9U6Ng82NAFVn8TNEhEOorqqFxiyuEO9i8RluUC3xr4S3DFvmqbHTLV
otxNKGGHU2mV3nBg1XC7fZsPLm77IEgUxkhacqeQqAbc2r22H5pGg2zn84uTcUZizRsWcmK9xpH2
el7b9S50at8+e2UoIz5FKxgI+kac+tZfzAuNT+u2cjshNjNDy3wTEalR3WO37MOjVbsE82ZA961N
50hy1UEzlxyrY9j0CcTo5ejniaEB0XWxc8RF55KuwVg0PfMF3fCx6lN1RoAWLrfNOI/xO9sfnBZZ
nxTWMZuV/EHTSY9XAHYsggHwbO+HHG7v3jMTA8qiC8oPdmIZ71Qm0i14RxP9knHq6LdguG2Ub1O+
kCEjZirLqraj5mR3GVizsJFeteNlr0AmBNG2iPqtngtCvmI3zl8iWXjv88DH5qPc3sW4aeeNug/K
jjWdORpICegv3ucstSP/vq7LtD3AbWQd8us0Hsim793ok8WoLDo5Yxm/M3h7mmtWcPowXqzWBIki
yK400AzUbYwIly1w7TE9ZEskHRL0ln68SW1e1Bu90OZ4N9Z2QpwkJOtwr5g03MdNQ4URwy9VG5yD
FXPtxI/Hmzjo7fi6gS+cIodG33Ssuh6eo+owvTfVzJqaaF088sijaEmQxKK5wujJISxp7Oogqzm/
loqD5m5woPjvba8eb2CZcIhgD5byNhqtAYIz2pQXAIckYWGMrL6lYQ5pJ8VSfQ5LidcCV4Zrnywr
cx4b3ajqFNsIxvYcWEJJchNoYxKzrWiBkDhpkABm5JNMnrvG2xfp8tVKQPWQCwq3E71pYLZTnXIL
RbPmThe9b+AJaIgjMDKF2CeMgPejnBPqHcK9v0cQLQaC7cQIQUG4+hSqpfiqp5FT6TTWPkIpU6Vw
nETRfJ9a6rdzleR9dXTi0uOg30xQGUacdPVegO0oDoEAc7CBmNuvPFCPZKSu6UhKyoAIPxalWfqr
bFl1sU5ht8/r2zBum8LpMQCPUf2BeWXzBBQJ7pADBgzKeTqNAMQKf7K2ecRRDPxGkhJRQc6ps007
bY6mwki/NzHKwFHK6MeIET67bvom6xg3an1lcq9w95Zd18mVIIljPDRe7tg720cB4rJyqR0O3hLF
mhH9fTQC5zqYwipfZNqB4K0T4m6uWXvNA3QLF8t+WjjfmnKUYs310tYTbOTiOjFReaLPXW6pT2TF
AFJb3kvgLNZdMlF5g5hqpwOsjNF/Dgxav52/1MwrOnAWak9Hv6t+uNPclWCGZdgeE1GDl4GxsDyT
410PZyZK4Q1WfPLfUiVbG9C+Vt1ByobzLBia3CfRtPcGwgEWLz0kEc/DLvTL+KX36maN8WsBsE2K
f0dnii9deD4ElJA8jm8JtvMPvV0MLhPkenqibxc/tk1l/cVTkWG7pUIqN7jR6+VMKW/iu6huymQH
vQuwKw5s8q28XG9mV1AfeKDa5p2NF3V6AFfmWTulKoNIuoiLauvIRqojlge8uRkFnHcTL6Xyb7Ae
83EwMQ3BNiHIOsCXz0xkCzsHH2waUKa+IzAyqLdsB+lA5TETYjvRtsOBjdtytwyLzzqRNCGxp7Ac
wuKeKii7KW1f9DexJ9wTsSpK3eq593qq5yIAxT/CONpVgwArCrxqfGwsaBUbbUfdfKzYWrz3THlK
0gNQI2LMiGA6kJc6Nfpdnc2ED6Z9rdErhoSr8sYEnzU60D20arhgEUULMWQqc+igKxG4YBHiNnof
R82aoJcTXAJrySOkbCaA3AIHbm/beTX2Ul7L6sqO28TbtShIWJ4Y5GEDnhZSr1u6QDq3Bvuuq5aq
2qYJyqRtleplPNgdjBZrjq0XiAi+2GK4ra5QHlkE0EC7src0HZKbtS0VbeSYyHnf+Cp3H2FeyT1U
8xG1Sq1Y9R0ouubascKhOi5FGzKRArVQ7exYjtfAfZZ2b1dEZx4IjlnbvsgoIdMNRJp6W/5BgDzo
/chPnEmg6bdpTu8ZU3w6N9m5nrMgv3YAOtEnD8qejnMShg9tFwr/EMajc24xQ5L/EobDl3ihwQAL
0l0p3IwCmncxvPXqOWh6Edzp3INZSa/ao9mOAJtt0h8/t6DXI1YnJNoDPn2P/FpYGhw388Fs+toL
y3tfUDGf27QM1dmb7bwjqbdkT2lWmNxpWtY1U+RNBZUv4MB89rPeaYncLDrrw8RZdt6bkdIH5lRd
rzGMJABtIDGFL2nqsw5OQPBJhy1R3u+IZU2f2GRcSPFjoPoTj5XVY1+hbXYtnERDtQ0H72ssSheU
fxim87Zt6il9JyccH/DmFvlXIenKb3NrXoaHsA6TGBZ0OZWnlDTgo5dVOj0v07geEjuTX6V2meF/
Z3DSbdtFTp+SMRgJyKsmAC19HiEdCGKe1i2IlIC8Y7oH4FzQv+wSz24/Lm6cwKrTfOXN1DWsDRXw
wfbYo6yNDy0iOfYmZ+rNnenJONgirDG7kViB5HbyhpF4Zz/2m7PXchx+V+ZW9mGqsvRFDxlZn6pJ
4+ikUpdUqByIWXMeQLeBNenG+BOzKbM12h24PM7G5wVPL4MFTt3TFSedngle1Yf7cqq03tGpiq+S
AKDGLuljAI7Ag+A2eJGM401kpektVp3wOvVar76BcM7BPWyG2iY6uNOfDRPTZFPHo/01oOMX7Qsy
mepbGygMOrw6ieZtbHHEB3SQLXTraE9O10FAMtRDDUkKB3mJT2Xb0ZH/NBZe2l7zYI4syALwz2fd
tcUnOcdMJEveUftdIlLYZKGZe+KBo6q6zWJR+B9aA+0C0GXcXuVlRph8RSlLTOnQ0Qt0AXNA7UIk
mh+7ocb7MnVV/n3wXNhik+2nPzjYV+WxrrMlvHOmmRlsWY3664D7vkXXLglq/F/UnUmO3Mq2ZeeS
fX6wNrKRHac7vYpaikLqEJJCMtY1aSRH9OeRE8tFfSSgcAkReM1sXODhvivRWRmPnbP32j5/7Yaf
Znp7I2n5PYmMyVOEmKDdIwG02z2to2THhDqiaptypV8bi+7NW24KhbglNAtgdCIglyjp/0QMN5g7
qYpUP6R1ynBwHEV+F9cOSdcTHeOcnaEiAACnts/+qRzPbbFAvsmJjuODNvtRH/rG3KiNxhkBq6iy
hB13w1Qd1IPqKgKuRfETpc1y9HIYIDQH0bHkkYcHTSfXXGPDNW9SQtBe5iXLTLZNcxLdLXFtfknb
6TfSrEOoBulay4IhKvqJHT7mDootrSMTUu9AV9du94tetxL3vpVMbeh4SmsfLL5OcMvQh5Rhuwhc
rIaKLDywHYP4kz4sBMxT63qkX2leEV9bpZrarcpbctu1hC0O/EIyKMC2EK8swNEjMIf3tZDs1E+k
0tDQOHk9yZynOm70696qkk/KqtmREc2Sst+poB31i2buW7P1MnibQJa2s5NrNA9rCOBbW2ZsI9nW
xHeyFsSo1523tBv6GOIa93DSnJhPu10YW3qpbmqfjIwbXcyOs8mHGRrOZDRZ/23QMuD8s6fafRUj
Fc9rXftauBD8UVwquadELMnbzOr6GnHq7B8jdKnkSQptdkKo+nlFnl7eQg5y+tFemxbCC+juLc6+
QW8tbvWSWPOwX6oZfKWYZveZJmZd7BqrKui1AG5vDpxxWm9mJIzdLsJoNZ4IYXG0T2lE3uapN42B
cOM8c/2jSEeCZ6WHA3/jJZ2nXSXd2ELOUErNm4gVbSEQlRrVqp2RUhurakMpUQzmXpurlTmp+QVY
z7qJ9SOFZU87dTHbW0XZZBxUYQLFqA2fItyn99l9bTqkMzcqt1R+mpyqfrGzVHxHDkw+VVz2sb53
84ZkFauV96SCOyrQW71jz9Bm6XzG5dkDUJGWE7QtH/WVSo56a26qWA8ITxjmK4dy73nRSYHfKmml
5rYjEIfxsrtwhixrdgbVru2++EvjPYtyWjXyES2obcGOkJh4o5t3GeXw94qwoO86HIuvEdkXM8w6
FSHCcYvklR7fcLTVYIiw1aOZR9NvFhJ3/XT4hF9IGhsqPnhAijtDzzcG7+QxDoJxDbizC+zGaY9m
aojnJtOX1yxp+/bYARIFy5cVehryPtcuEc60yLfG2FvTockyJc6Vv7Y/6Qyr+NqY4ALvYs7KI9C0
1X/SZbWjF9GklfuV4e0cXbF9tIuNnxoD9JUyK72HGlGSxU5PTONP15xhjpqJ9KE8KBvlasqTaN0t
DUVJQN40jXCquc4mr0Xk1102MgBkPpx9q3xiHxJnjsst6chinyeKSJ54sVprs3pD9lwMDtMYEXt8
02npJbS1j0Mhjeau3ZTcnPwmJiOiCoHjeF/HCWvFHVYhqLmaGDNxppaEOMs3h+gcKNJhQ6NN4aZv
ogiucTwWr7XZOTHuduibr3PVDyh8VDGnm6WVQCXQS7Gxn8uCaCf6AJl/HdO5uo/KzK0ZkiH4CHzm
IM920yTzFbFPA4ls1FpbPlF8EeC18u0qeGCfwPQM9U630pywGNs3T8nQM9+3Emla9HbtgWzrtNXz
X5OzpFmg0GfWoQOiDvIcHMR4CWiQ2xFqpVYdEpKomq1C9/7Kdnrl/Rqm9ouvMRuqWgOJQUitNuuf
yNJwk5sFl1/KS+zXhySxhXsFzAzN0tTQsQ9ETmpaYOcr9hpyWvPQwQSZN8TS0khN4tojrrBPTZ+Q
pIiIdGIvYBxPxP2iePSsYthrCRdgs6bPYYtFLi12etFYJ62QPn+B7hKuyILdbp0ZXNg+LXSEpzqy
SbFNK+bfQYShNX1RLYHYbDmlFT0ygKtukYv0RDAMbZ+dh7G2AKAj6CZEp8/8W3xjbgRXzDW1QPWy
hSc88elJsQ3/IN/E8gFlTvYhMxrtWTUsXGSEL5naskZHEfsuk0WN5rKOQQ9Jx4OMGTpvaAZYRw2c
WhXgHLXcYCD06CbpiRYPx7nrwb4yEyHGPjJKclgBiLm8YB7tOcuVdXeMxmkkA4J4MlJM3AyhiyLS
BO2vPbvuluahljInQhMPcS+phu3itjTnRmNqiqAlAoKtRltU99gdjSK0tGUU3yAIdp8blr6X1oDh
vcNC2JhMjHrSy0yCCwnqnJanOW4844QgOM6YKcB9QApr6drOqkUMAXGoYxKYyDM1Dk6yVD/oM3Ct
iIFaX6ceGNc2N5Na7Ysi9/YwPhWxKHmb+/seITP7qSqR8Ky7aHrqClH9iDpHMVBlagnUKRLRQSEw
JsyDXZ5keC1a8rCUZ5/Hpl4YxWo0zMCUaopCTnSxu+dtH+wz1SpGu2503J9shRoSgojcdNhx5Mo7
4cBCQxJVKQM3MbZwj4tUooWZjCHdMVby1r6oadzmNY98gHyThTJxY1QGdJnbax3xtr6rlSFjStSa
5JU8GuPNxH9yXxTGCButyrP4qKo8vtJFMsZXTuK3P6fMLkiQH8F6n6jccvoW+PHDjJV4CMsi9tJD
MdLAobXGHHUbL0qVt7HQESpVnKe7F2hY7dDLGQIyREjaK+aHNArLOTJ/pTKz+D0in5xPeWtFSRi5
ZGixjS2Wg5EMjNM3mkUDO2i1OdK3LptWizwNj04MyD2LPRXYgl0zTFzxYnKiUzfVutx1jat/hRcC
jYzG4zR+pF1bhTNvlF7OSjJZ7R8kAmD2vDAoyExnz2YMRLZHNJU6mirbfnSGk64lIwbCSr5KHTbp
bjFEF9L5MMKpctluD4t1ml0vAv+1mKdhWdxDVrV5UI59/FjzzlLAS/nF0HNnZ3dQuzZFlHeP7ytR
LhXnfGxw2fHDHRNNvH4ZaJAXM/F8jEvCCv/nJoeXeYyF8JnrjNYx73KmKKWYaJwyvftAQyIuBZmY
cVeppWMbjIf53xcKEqZUi2dn1RKOjtndDg4atai3DXNTEpSahy5fLMBf5IyWKSlKnoq2rQvsdF8I
ZVkh7gYYDolZuN2hrUvdQeru0dtnl41GTnUZKToWRXZy5kMn7ztVqM+pMNVyYyQppFHqVZVRxNco
mCcSdCIGGm5BIKugR7ez83psw3iMPG9jMv1hwsKUhniJaCrqG5nP8XMCghiTdrMkx0kb0YfPTa8e
E9zZ1hoP8WqhZwKp3ZXPqGCHOyYd7U730kmiaxnhysquFwQEoy3ta3ZpXGpukpsAR2uX5lucRi5B
XT1jOLhvZvptmRazmsmiSrTyha4z1vDOdjQRxE6VvRZE9N5LY7b0u4EEHEbh6OnGh1i2RLEZNror
Vuio+upMHpbjrlLaV6QryMt1GdsDvWxbkbrDi01H28pIsCrGpvlCzgQo9/efuL8lYOttJ6nbXAkR
q6/xrXDIptlL+13g78y1PmSN9TYZfqSjyeXfWf2a4CmW8XvrZ19Gt0l+2lEhwlIu164tmDcX9nir
En7zBz/rX08jQCIoADZsEUT4b39WTM/EpHc4hahQ6hs+ZvqTD0dvb0Nn+VQxu9/D2GXACFCRvLgh
sp4cV0WBhWo3MM14BJOpCusDvdylGpdXhFeDawROSyfTY/3RfxhCeoKEBx2XfqjltTy1fjWsO4Um
PcYsiuSLJfHRQXLzkQ1hffPeLGkQGHBxIE/DDrvmSbw9rCt6CiebaVZHJiSU2I7KM7PbG8T06Ekw
PDNCY/f8SWvIgGzs8Zm/przNvXI5SFfoYasZ/p2T6d1uaTNqpfdv1b9+HXwP1tqVaAYX9+2vM1BD
Z4xBjZAV9lZlZddtkqxormuyDT/MCP9rdRfYcNC5YTLgyUDy8fZgMVPmGFA5i7bWE/LQNWvEcz53
u37Uk1dzplZrksrcJXY9X5eVTkucdA/G09Gy+09PW8Atwu+JbFIXcCre/hJgjrUCyzuFUaL6h4yt
O+2mxPcDr1nS1/eP9fdnwTNRQho6Ok3cx5dLM83JAXlFvISWqNmYC/Shm3K0GApWOKtYeLL4ZfDY
8Q8UAx8c+y8xJhJ9f73iKCOx7ouL29tNXsTYiWd+SOz4QRVMADxzLKwNbK9uZ5DUGH/wQJkml+7N
846Znpa2iecK24N++ZrVbFw0LzGjHQ49tCsehKOYRUmvdr1VUNNbyTAeB5IUSSJAs0v6WWlUexpY
bPHZEulHwlSpSNRSGsN3XcuyLjA00JcBAHGor/QvCohmVImEbuZs9hK7b7uTs4wNFIWlYrDy/u0z
Lq+h4wMxEcJzVgYND82FHbDPJp6iJmYDj9b5O/udpdxA4nM+s/yX50Y66kvjNcgsi5k1rRAxScyZ
TzejXR2yfH6J77NGusGN1K+HQbO+TkKmH8R2/+tHroUHhkX+Qex98UAjEC8K5tz7gbwMI5zzZJgf
9UoTSaD3k9GdcL8N/bcPLs3lC82l4REFcIeQ2/SwX7w9KvolvQXGW+1rEuWPdH5qKjPbeaBGIwGW
ifm15UbjoZ2ZnmyICGDDqIQliUWlifX+b/ntTv7zuYMBCcmK9WX1jeL/uaiApGYmlc78aU+yIvo6
4oWnc9V15rWTyUVc1a5ZJOeFPR9ZzaOMjD0WvFQcW/ZOmIkFU4yNjy3e2mJl9McrFK8MMRCRtcZ5
rMnhDuYcqvdGbzuWcS3rnBsGLPkSupbXNUdlspxtKhnr8cHs6ujKT1BwbNyF1JagBr/bXheoHMQp
s1nnTqmRmdGVs9Bg23aK/s5msRWAhITOnMmcwSLVgg0o+caxYo91tcYLvDiwZOYvkmSV9LZqSxq6
Uzcv53pMfPds2a1t3Zg9SiYA1bp7JXnU8sAeYgx5lTawMUaP6z4KTN7RVvmFo+7QtsVTQPsSa0SL
E3b//i35y87t8rnVV8cGnn5K4stVds77kn7jpO9xHugRkAEfMCB9T3xmUhcgrawG81/QOARc4HyK
LQ1FYO5Bzo+IPT2DxVWIfhq9HT8oBS6/eqzDpiXgMK0sCPTzF/UJPk8d+hpRAUvex9u+lzXO1Iy3
Va5W1Q/8aHxIL5ZE6BuYUSCMsLWh/hAX371qTrWic3u5R7ommlUBZlS3UdVkvwpLq+cdqVIlWq4U
edj94HfqyR+8xDsRWVzJ23nEkbLPBunoX6U3sN+eHNRG9/Tf4hu/QFcXSF+O9jlDlGR8IVM5nz43
cdLku4YyedrVpF/qO8djxrF1lE653wE8H6+jin47TpbfF7yCAnaz6JEcA6Jvk3QnJiXzfZQpzZT8
MScznkDVT/Oh6+x8eSSkAlmdasBmbmyIJsbBz/xyT2KrvmzX+eiLb0Tez55MkmQvDQHJTtKVW/nn
EO53gNqKr2Yhjb1uuJF7yo0ZGS4urUgPmgzjEk57kCbU/lZ3i4a7JXekorYiPTwCJgz6fXCZR8mh
2w0WkVOPHVP7vUvfHVo8mSc/JksfyxARUgujPq6bz35r4khpGm34VVdAm+uFcJsffDvo+BS+NRQv
jGnMBnhyYnyepySNAsohq32uM0cegbFPxdEenPHBqmoiRpiNVNHREtH0arGyssRXeOQDKxuGz55V
krkBPt6xtoypu5f1k+VvGiSmceCkymg3lR17+cb1cuuXkZs6rdikn3+WyCg/rRGs4jXLPPToWty4
ALiHKMpSrN1KEvjVGSlDCB6Wq5mGZBaUnZrcjfAwl+7Q2+RE++jRENqCUF7kjBN9RYY/7GLQ/gxr
qG2ig0/Likxh96kIFXHhHVh8TLniGFi8VO5dNqxLoBtD+cWb6ANvBCxO+lmgnL/ygVyqtWyLtXRf
TcLZmSnam4Oc0tl8wj2L5dgk/OhkG21yFCPJITuEfVDlUeUy4Y+HtPYOObijYuvEXvdzSkfmjoUh
2Uc24By0DQo45g4o13p1Ji/JjMNJgt3aaOx/qwN9CVGe46GWZwU8sTnRYxc4shIRT5vKipPvfVqm
NV5jBQTOMBICfrPWqJhejAtofNZsbkNMEA9aYsDm5pbxpbwzE9Tv9HWcPNtqFokjOw0AeB1Ybld8
0tE6O2DPp+TsjZmNf6BxnZ9LatLox5ri1aDso/m24I+n24pl1bulR44SRi7a3USA1Td2/y6pbo02
8wQU3Xc7WxwzpIxiryOwnAe1bYPRn+2iFgyI4xHm0Wj4gVkShbZRcWTKXdpayck1MiPblf2I3k4r
ys++m87HEh3BK6KS5ujC72csbGaZHdYWwJRjaXEHIZjkiC4xynj1VmMfuwDYr2Zvw6TQukpMx+cr
PZYogXunq5HqYJCl+AaucBq1Jn6iHTu017KvpwfdIH8ScmttXKHp1FpyoMlUv6JxCTBSLEJED8pc
Yv+cjl1KLFLPxAYXy2J+IeuRjlqX4CDc0FDjcpfoFjGVEeY2bVvK2GnnZtPE8ApUXcvMO8rutDyP
58M80dpCyZaaxLZJOh14eDAqkAEQ9VwNZ0lQGvmSVchf9Twisrursk5mtQN7mVh0orXyHtl+82LT
JCPmd3Gch2Sc3DawPFmdl9U+v9EpEaytyBCPbJopU88KOUB18ryRTC28AC/FUC1lMM9auWzLOpXT
cUy9/IWeFqnjdF9sGSwMZYoA31YK1MmPd7wVtARUbQKXMcrkC8Hn1Xjwiyb5gosRD03kS9XsyWSr
nwgvilOobcTMBSXTxJKnIufZ5q/3HlWSJJKBUJQ+Vy2cIYBnzpTvFqQ/4ZJORbMTRdZgsYMlHYWk
TBCFzWc5ne97u2j9XZS79l1ZS0YcpR1XD13kOua21ctVH7Iglg7WWU6/KaDSJPTvTftHnVG378Zi
EfXRsPvlRbkxZYjV8aQm4Lzc5xxFPnoTNEvplhY+tkSz13jJR8UAv5rrWQZVZpnhHNEKDQwS73ca
/wKufS1Q5Ma60/wgyoAaaQJEb21RzYt7lU0sP2XcR1+Lgll9MMAoYvnxfJSOvXIwmczp8riA9io2
k92an6jbyjRwyfvSj6DCVkG7j2GJdAGyCCEb56QDL6ZmbibdJkclNsmmOzNrmp7SiWkp6/g0xQ9E
2GWvLflW97lOiNzBLUFwsmBpQ7GRU2Q4zwZzFSIOWjBBJwAMGsZKF4Z8x3Tt2cgIfg9GBH1kcYMK
IiKGUY/Mjal+buvYHLct2QgDOsaJabMNlBDAx0wu3l1T6jLUfJRLBKDoSXKYe0qlDUpuQw+12irY
nDIFMPf5iM9PWZPnhrHdx26YVobXBASxEFyhxx2CmLzmOscNmgjkNrnroUkUOzxMp7kFwIC9csAa
tpgJUYTQ+5ofHkNYnZavaanAnSdHHEbXiuzPdedZE4LrYTTuJnPx3MfI5dELMP/yUYPlRG/LH6OG
MBkEGNs0jeSDmeLmwQI+TvuW6qFjIcertfFRtXFFelqfoh4WeZcz97vxOwRAWy7t8NWaMy3KN5nU
RhEmrBL8GWX4QPCkRqCamDCH6pOpd3xNmzY6jomWJ+e4sI1HQ81+caRtjwGMdn3/g7wMWWK+aCL9
3tMLeycGyD5bxEhxiwbMSEmyqZvn3kkyexcTIu2Ghoixe8weJCwErtlq8fALhme5lA8Zq/IPxN9p
wkW0bHevOkwc6HfLJCRRZ3gSsR79cIzFnw4Rt3QXZ0X9jSAaBxp9UlQ/hfRQ+bW8mUVQSwRYeBbI
JNs2mItLFqeMXphSidBRe/DtwohBNmQw4uwkl1E101mw5WEabCyjOmhaC5enZwvMnhii142Zw+t5
hNdLqN6gTY0I+6FyP/VZWsjQtVPWsdy1Ov687uePYplVx+fHX67GKgPQCQ2oPOYmWwJevIG71pcA
uJvKca/qCJhkoHs4HsJosTFNTomH18+bTLTPWtqna1p7Py9EnMc11MGutfPtmEx2sW2zYmbO7vpp
ynS7sl+nVjYe6bO1ae/TKROkpXB+J33RBeLO3uM58GX9ySDbRKJHG7rHsZ7zhYrRsYOCJJmO+CQZ
J4Gca8bhRdpPGiH1E7FEC1n2TciTwhtEGsZ0LrJlHq8Y5zTfIFxhPTAmfXRuNYbKKvCS2bhZUNSx
9CxGPW3L0kjiq5Lc1Xbj5kv01RlJ8WxYThxCkVKnOpfzaN7hhmPAg/u5z9yzVlrltE3rZkpPXgLr
c5sVLNZXgDHqemWcpvWO70Fi70xl2NENL/3iIZwbp53fs2hda8zgrydr7G0IxonjfrIrqeH4iaF5
nrySm7Rdt9LISGJvLAJLR1kWmmnrXFElL/PWz3Qyaay08l40OcU6ixMSiE0JGcY7xDKLsQDPyaJR
bkAD2s0a8l4ScBjX+DdxxD5ia5jG4pHOlTUkzDguySoeifLejqq6Xw4U6FE3bONqwPgP+8HYpibq
hh2CyVrbjlNOoSh13CovNRISh+CVqjH4bGmate1Mu7+GKa0Vp4KG5rdFH0zawEOT/Ihc7nWAvWbo
ryoDneyZvIbcvYV55I6/Oicax12Gjn88luli32tpYjt7KqqOVR+F2zSQdZbR1qa08b8YsV0epjjR
vQ1/i43JqYN6c5d0sccIYjRLfUc4Bv91qmnY22wn7eVVYks/fchdFeuhy+o1HpWXy/izwI25+iFr
S+6SLNWL22RBT3JNVKibh9hDpHoxRkm+KhMGLy4RQcP+Ia8lItCnYJP2kMPHxh/QjJYxMPRxuzl0
3SJKkRhOucdoNjbwXaLFNKj6G1QqKPk1dQegtaWxlafVvew7dOwC4J0KLMXs6koq+qXPdmxX96gf
MbsvMdIAysukeNFnmfjdB52uv3tIVProWMgNcS0fjMbbbk4pEwd5gBz2SNWqGygQX2scfBD5J1z3
dTJ9ROddG2d/dmxAhzC+ACTiQewAuXXRGffZfOdqnod9OmfjU2clScCXIH1QcT+ETCuigfg/9QJo
Zrim3v3IOP6vw6/pLxA6dItO5cXpDp5Lh7llKqEnCvnSUGkwLjrbbh+VHXdPPqGxv/K+QjlVJd2V
Zmm/3m+PXB5/ndjQH0HNzYWgP7s2Uv+YR9A+ndsWt9Sedk21RqZqdGGox47In/odGI9mt3jVuKrx
ENVTWzYftMwu2xJrF4T5DMWOQVfatC8uQE01oUN5n+GFISdHcy1PWlLrzz6nfuW5w/jF4Vv8Qef9
L3bCelRaQfDCXMaVlPlvT1vizTPbKIY1r2VPTGyS06jKPiDUtUu2eorLQaaed04N6Bo5uu8H2BLF
B/2fvy49GDznNz0BhrFp+ev//8el9zyFW5g7s48pQ6uT40J1O+tqGFUAAbFZzg3oqPIhbuz2tfCl
fgtTpe/C9+//78bxn88/RRVUE9gFzGFdmmQXV4JOiIXNK08P9dy67LfbWi2vrdOo8QHBCjHILY0U
Z7XH9b9MavAkzOE09dd92hn5dW4rU7vLCAntfqm+zvH/Jq6QZ2mLbDnw8Z/Hzej3wF/Gesl3pHiL
iWU7Rolkxy5LrdYS8pE1CGIIkTVy/bxMHlLaqYkrFda27kaHFI5V8Yjzwq5ekIh75o2XDngunDga
5IHubw3zwoVMdcjFoOwgc+l/hEPl2znuccyGm0mzS13hFXaqZ0bus7EbBrN4xTWqk2LZIhwkUc4w
PtN4N9joAEzJz2bh533YTsky79+/5H9BgoTBYBmCjEM6ET1i6+KS64hoZ5EprGVwnbcTypgwqrxl
6zRm8pQiBLly8mo6DRWxuRXV9S04eWef1evsfJjJdNTr6vDBb/rrOWAQxgDOA30p6LKBfnv7NPZL
XUoNEF3odx6gJ4XVTDv1ZWpoT/1cAAYg8BVrJDrKJpCWv5S7QVAZ3bT0y3hHSmChTxNJGe0RWdus
71HvGM3GHml6vGKu7p48fPPyMEc0jHaq1JovgpwH1J7T5LzUg+O51K6ieda6Nk9PU4oCmLzFqAll
Qc7wwTbxFmyGxgQFO5kl4gxAGSheimimNpS0/XZ5QjJ7QHjyKM74NVR5ovvh2PfKSqc6zG3wsp+8
3pXNkbKz1xniVLEd4nRXBPhpqXeVAUC0t0xSnWezWdocoW8ztTTLh6j8UhuCfIy5twd2uhA82rAi
9gm7F144tsgjrafA6HsHzYVh9undTKEqTmx/GHhDnl7S3Tyl7XDrEpBIB7Fs2gc7RauPjcEY56ML
Cch9GgzAWVJLLcRT6DPcR8mNelJjZX3rNGeoz91E+2VHfJYdI4E1I+KYFsYrKKQ7dLmxWS1LmCMv
S25U3xLsnXSL99ke7dkJslouDx2vVxlUUETcbUptEIdFpNFVE06hEvZzg4+JOMWngJiBYRhzQn+8
IWzYr7ZwGuiYA4hsd9yFJdpiMpyzsHO84VudS5ugDpgrp8mQiGKHOO3CYZpTsv66gVOIh9hFwaQA
diIQsDuSVQtD23Vw5ZPbMbVM81TpBY+5g6CIRDhZV+oHwFPU+xseAODM4FZ72DwMwjTrSrb+un81
Oo1jSTffo1/15rs663SyiDXRvbAloxBG+oISriOwd7qVnd+4D8ZQ5SfETAbKcc/NY3w7ybBH9FQZ
YWQQxrYvtYlwK6yAnHQCJS65gWgQveB1B4LuZ57dwmQAR1W0RvTTjnsMUfmsEIwpsI2nLp9EdyI/
FSmT5pbqqci6QWzoBOvDB1+xy1IJwiF1r7Om36zpKdaFlgDkea3HySLBa0HHk5Pf3i8tMS+UM8ux
5EH7D+e46/GoE1aqF/fDEBcfLIrRYRhNjmcVmvUJgPEPQD7oTlGcfI+dVn1/f036a4jL8WBlez7J
EegWgLC+XZKE5pNPmuXY4YSDcUa0020s/bDFCPklLdbo1n4e8/PgkwruJ8ombdc3pz2zdu+L6cpv
mdBLNsiuzRxXwJgFHk1cVBmpJNr6KOUC6qHqKiMD+SrGF43hNLGf3z+Hy7H7egqcgWl6jF4MT79Y
VdmfRfGQgd2TE9wX3AZGKDBGbV2x0HOVJkQ0nTbg1YAt4YPPzO98vT+/7OhxSGYg9ojJvw+M7WIa
W1UDusghckPCNRcSUYHhIehXJRaySHcG/4Y9l/kpcTtzCTtXIvXQVLq8TH3jDFuzhwIeUDNCdurY
YmPUswbzwB4TawP4reWHm7vRV77zbv8JNSv2a9w9fhx6zoCUWTaGdk20vQ81h+7TuHn/sv715DMC
4MqiGWEBMqzLokUrx4gcwbHGnEyQtUu355dMwbkaBj5TdOha+kGVaq3DuLcXE9AgDHs0aNSLVMxv
n0UJahD6kGz2atbpeUeStBlvKIDUYbzkM2C3KjkLmhHF3pSta25SksOtLf4fa9jpfZLNgV3p2EuA
c/hMddy2eCq73F5TqRMsA+zGsCGL2MJitDCqftKKYXqUZpPII0IiWvVJFQc5e2L9gJmvYMdKhtox
Q8Hxo2ZvuFPr7Ji1t3v6fan/o7iy/+8C91Y81ztRY8P/+e/Xn2+DxvgD/xM0Ztr/RXmGmID4Sgam
1B1/BI3xKhlMktkxksREat7/Cxpz/f/SHb700NvZjDDLpaTrYD3G//t/Oc4aNAZD2gMK6XurmvQ/
CBq7XE/WH4CMi00L21X0Yxfv9JBbMWM9ola1ejX71YO4zzPR4X9ceDn5IP0y8TDsOp2Ahw/eubUq
/fMNWA/NSsbGCf0YGqqLjTJz0sbvstoJRAtoi5FvfZ3gkdt60GpOf9yOu//5S/8MMvv3oejfeh4X
kwv69mWjTo0NcylxByu72RbZBGKhqRsQi+iO3z8U9+yvs/Ipel1z3X+yC3t7KEMy6LSYOaAwB1Wk
BgeLMKlKH8C1103s5bWjl2GvIEw2EZcJiUDfZBrVZFHUi+sfemuOEG/q9YnYieYIRY1C35GTMoL3
T+6fh0VhQHMWljhP7NuTo1p28zTFZd1oqFYx1rQl8WnA7xBfgbCi4xtECh/s+0f9192D+YmNj469
8ReX0M9VrVr6SwEElDmgRzcFzZCUwCez7vj+oda7c3FdTcoRV5Bjwpv5e9X+cwvdG/RSMYgFzarb
wwfrxvt0yZp7t82mrW3CxmLEHe3wT03XUd1Zu/eP/4+nh2dmXQqQPa/arLcXuEximEc59xVmZ3o2
K793g661eueD41x+73j3OI4jKCBQ8WGxeXscSsfJl2nKaB8szLHu0Ttonttd1WXcYsWOvcP75/WP
W2iiR9R5/2yS3y6jBjwNDOiQCvbSumEdXInKYp7d+ZGxwEcYy38eyqPNwecVVqN3UcTmtqkD9Skc
GsHNj7ytxV56eX9PSMxHcN5/PSwWBwLhijGDG/b2IuJE8ztMJ1xE9mY7YaUG/FPUH9f40LvPxYTS
J1BOHT/pyKWvYB4X2/ev6j9eR5otBn1G11l1mBd3UWilkWpm7ED+MLXPfjQkgQBWfmwjf6yhdFEX
mKLUP3gd//HJ4BFFPEirgQLev1gEqmmmcWBygSswK5uGQJOg8CyHilRppwzr1H5ofSesh6T99f75
/uvWEhTJGmAIvqfmxdpaMIgZCEW30Q+YC9viwUHqlDlbr/G1Dy7tP0+SIpf6DAEgo+i399bo8JDz
9bOD3mXXZqCfPU7uZHyvu9G9Lmia3KGE9zG01TZorP/4NFl+LBegKzpez7p4rvCXpVKvGRIx7s4P
nZkQOIVrc8WaxB+8l39lxLAQQBQXJPc4dLrcywWvQ3WYGTrHki0OBr+B+SicFHHLbEbQrPKrPEpM
5oON+8kqKsYJqXjVUCl8sO7+1T/9/Tu4zog8WR6YOb693vTvRxT+/I7YQibATvRxFKW/A/hCk7im
U5/GDlIJP/2akpkTaoP+8/2L/o8VkfIMoqPp4cb/S8+MaRFcASFOQcfAidQiJzsje4qZNwIsxxEV
f/AW/eNZxlcDSVtfi0PLvzjhulzgqTh0FwG7NKGO02ILrCLZSV37yE/xj3UKrS/vq3B+F3vrT/nj
o7aMWqs7UWEHYBpQLojRMze2MatPrhraY1Q47qERY/1T1Cq/bUdgdO9f2n+cKmFkoBYt8BUI1C+e
Z0aNeldqQDmkMxTBYGsuwN4Y+y4psPv3D/WPUyVmiZrYX4WzlNBvT7Wu+7HUgZgGCJ/12xolZkgn
ONkYrQ995v9ydl47ktvaGn4iAcrhtiRVVfd0T5494UYYj23lnPX052N74+yRSiihDdiGDcNmkSIX
F9f6Q6irYFggfKH0CEgIRJ5/f/id6/v34c1N1ECvWwrLGSxKC77T4xSn57qdy4PYtN6qL1k6IBZF
wBcs/snYbB3ZnMcKWxtEEDIwLRr8pq+6XFteBusVhKGZHkA919/vv+NporXBO5VV3YynSegNjchk
+nafNmB6xvCaRnHuAuI5ulvW3+9lKBvBIF7iVDfAe29uNBk/Ehm1us6X0XAHTpWGZyyGf6aVHpzR
NFfeIFNSwuvrQ4Q5I/0gGq7v0/+Ozs1G48LkgfWiyfzbQZF6RW5j8YQG+dkRiWbtlKpm+9jLGBLG
2aj4jdFq7+/vmb1BxeOQXQvG/YY+ovShNKtK0iBYhXtDVoyZL7d64jsIcvxtoR7+wVr68eCTrq+3
l5mC0IfGwC0qUw7bJElBkiU2sgeNL9XGcqIUYFzjakaCpF4sqmDoNAJIU/tzuFTawSLv7F6Hkykr
MKnAUavip/22yH0AJjTHuNPPOypmHTp9T10FR0UeLMWnTC4/3F/fvalStxLJoOgDm5t0xaLIm6gq
Srzg9NDygmLxaKF9B3zdNJ+yMqvBnmhoYlRppx7E+N2pQp/knUYySn1pPVXApLkVRHza2RqTNyg/
QcbuuklAji0gdNPR0m6g6f98VhzGCG6YsRDwN+FPHlSTnoje+FWloXCUQ0cE1bPAJKTb9aW0zNp2
kT1C0nnRneivqLCd9wm2JQ8atmMQq0crO/jamwTjn59EbZfqgiAJUetYr0Eq0Y4CF9OA4xu/cL7s
s4PElRcmBgo4iEbBg1fNpyTUYL7LDbIE46idoWEfuT/vBDGcAinAvtR/yVzXv0OlM7Y0udECq7Tm
93GB3to0JD+DpLUObGfWl8A/M4YcR0HH1GXyic1Xl5xCjsYh6fw8tJxnHcGgyxBU3bf723pvb+Hb
pmmiOiSeIOv5KFxy0WyWne80So5yhJOdkU1Svsi92XuTXCSvy0r/Oy3880zCFCXLrV1FF0S1FcvQ
kaYmK85otE8IbmkgwjVkBV8/N5O8iEo371T28nputRYWc9LrrQ/uu/Yr2SquCwB7ZJN75K3mrj7f
H29vb5jU2eh6UB1ytj6NrdD0L4FE+3UzjOfeMrprJRTY6IcdWZfuRSMSPhOEiMn+UDeBV59kKidR
hDlmKQBwxlJ8Lum0vcv0UBU6cQh/oJGMOMoUHLGpNxZc/3xBfBDhRWJ4S9locxSXCoTMbCKeZeem
/dA6C/oVMVqpszV0Z3BO/ed4boNfc4zQXZQtDh49IaVkqStRu4uA0r9DEqZ18wnE3xszUyky6VIU
POgKgupmZs32wS21kw3w/jIMx2Q3cKI2oTtQ26BWHdgQIzpfzxj3PUGAUFDeREQTakH0uSlTW5AH
ZkgRxeQcxS6Vffa/apBYMHpOVLssOA3krtt9kRnJTAEzIHZFKdJMEb0Pf6jxIPdiCQl90HZg7E+U
0J2fVSOZXtv3XXuy9cS+OFnRfEmMRfvP/a26eSi9/CZIvo4u0nnyhS3xVq+qeuistPIDG4UpK+rt
U5RY3aMcIIcAIUs6jZiOAr9SM/tDhfLV+wi/t+/3f8XtLhZXuMnKULolh9jkuYNeaSMIDYoehoVU
dJ1CMYWTdFHbXnqsy9K+LhmyqMrcFAdHdXf+vJZAFFBwoXgl4uJv6QM+s4Gl9xJDO5Z5rbC9unBv
ydqlrsLqb0tazIfWHMM3kxNUka8NpvpOwTL+y/0FuI0Y8E9l4jutEQMLtE30jaxAWcoCZX6YTpan
ZyqtwklJ3llzOT/8m6EIpY4gvGrbTchpLssuYCikcro/GqlB+Klt4NZxKs2DA7f3XbHEJvumH6BY
1ubAjWlqaIkG3xHuWwuUQsqlzjVFP79B7uiXHTfFj8BqgW+qtdMcBiixbTbnTYBGCMU0OKGlivP4
27edoJCgmRghNJRG6pvAjGyog6HstlG3+LIcVm+cBnPIEPlQOFQNphuF8irG6T/Hy+blQeHl5Wrd
pAlwvmqrU7PKx8mgQP5zQHNliUwVjqVcXpUsfX2OCIvZpKPDetOg2L5YhxlJKVtH5j7BauyKwyVy
ge1k4KyKCuabOFSAsd7fULcPjhfetG2JuIrMwuYjB0ja0LAGlzFQZUJsMomeMfGyKNi1qAiiEgTA
Kk3/xblFxIJLT2dcHniby2coK6TVh7RErbkLLlpmpICF2/A8GaAMgKJYjxhQCmWHENPbpOzSt2YX
jX/en/rOseXeo+tK0ZaGwpa03tpq4bRhV/qNPih/zMqQXyBJ5Gd0sZqDCCHi0GYvc1vTBqLLRQ3x
RePit728yApVF6nBfQGS41+t6hSPiHBOJxST0HFqk6U++Kx7kVFknDxyRLEHoOX69LQZBmCzjd8D
1eDBwLirC3IYfennwJCC+SRn+vCjJqJWfkwx6NIaZtB5WhhYmf/qVdZEucn+B4zmbM4Q/2aQMiOu
fSI45hyZ09AIm3QFQa+aIuP9wXZ2M1NFd8FA+EDmQlrPerGRMAWYUPvp3BnPfZ4jmmaOxhXtyg9c
AaE/SLF8kBiIE7L9tshuALbTOLWw6NdjGgba3TEazj4ICOX9OBjAP9Dx+nV/ZjvBmPoOY4g3OsXu
zcwS1HpjYwbqjq6RBqpIS1Hlj1t3sUjOQFPz707JBDfmsthR8i+2L8kwEYI+lBAXWU+x0MwG6VOL
7FsLWvSY48Ed0LqZYFlNysWMSgAg96e7c2DIJUQ7k6I7O3g73W6wSjSdqDJZeX+K5iRDQD1FWmLI
TOsD3nHF5f6AO8GAYwnUSSgLGLK+uW2yAaZGjm6WX1nx9JCnjv22Q5/hY4VL0bf7Q+3NTbx/uVbY
o6zrejW1qlUqCYYITaIidasapbQiyKU3SmxDwjLL4iBnEEd9s0F1y1EAA+vksEh9rcfjO1kAaNDC
UJOoghPJoeBZOlvYHmE415nl+NQoTckl0wWTv8yzdVDU2v8BNu8b6obsoc2EjQHVtMngByAbW/xo
gqx/UuE9wsvu86cKqN0JmaHw1BdW+S1p1K+vX24bLIOBNLhGqrIZPemzBNgzfoCkGDgoBnYdnVrA
Q+4wqNMjwT4/2Eq3hRfR3dQ4o1R6+Bt7E3utnFKbYWQOauepdcWCjCwFhxFPlqbPRYKxyxD1OKkv
OCeA+07+M6NEjr2gg22sZA+vLUDwY+jsIpklY3sLD2D99WXcRnpH7xwvrsfuucHeypvtQD/fX+Sb
IMgoPBiFyxBJG6/n9SgBTppzOqJApVnoRUCdWiCKNEcNqptDqqrkvQCl6AvTjt/eJSVzBCCoIgkM
qMHFYjF/UBrYG5jFhtf7E7odCkgbtRQuEUA3GJavJwSAqsiXRla93qirv5H7nL6aEl51jlF3B7Fu
ZygyPZ2OLbm2DE5kPZSDhye1t1n16iBcZuQmEbI8aUkIY2Aq9Tnx789M7PdVOKBqT+9HNE4h7dKt
Xg9nNFADgDNqXjObf0h5MPjGOFdn3AXpguSjdLCQN4efkQQNgvySYgoRaD2cks6htliTig1ZFHlx
YdZvk6To3smjMTzLqJc8gvxB7yBoo+U6NI2kHx1HMcJmwgBULAK1YwD4FMCq3x8SVlVWRizkQAcC
bOuGSiA8UYJJ/xoNNqLNuDJoX8Fvw2wu8XtJQQMlMwnxpOTRSUsbyNr3v4C4vG5+EI8qBdEsqqDb
u2asUGFVshxzPqxIftgVJkdg7Or3aph9nFF6/gSWpPsLd5gjn+adT08aCrTWgR1AuXATmBDoaKWu
phmVlfH8iNQvDGs57BDvRZYEALt5EHtu672EfKSF4B6pmGXSW1gvvYNmYT/1ONlSUBOVEwQYHiCg
h8OJw8URxhkHH2W0vnllTsEIgRhoNlIgThzQbsG2ljrf/bXfOWz8IvAgGu0rdBg353pWoGYURGhP
nefkoaxx9Kjk2fEdjtvBULc5uADVcM3zmanDc/+tZ4+hr9KEQlVco0XnJyge+GOZDm/mQS/OcG6i
ExYMhb8sI8LjA7RXRHjb13YdxG9g7cmigBHdfIEB80KMfzRo05ZSP5SBgpZ3gPQ5qtCVPyIifRBd
do67IH3pjtDFE3n4es5xm0HRSeFfamDXQQ9E9bMi1dJjaxfSX0qLypSvS079AbTIhNwhae2RI/XO
Jge5INIdatPU6TZF1SSIqatiCOZRG0sfVbmDEh+0y5cCjvdfY+nAmb+/pfamzHODIgUVGQVa4XrK
ISA4JyEE0rLP7eRjGmrRIxj21ECS2qgbl46QXZ+KMsdHvl0U5T121f2PV/8Gnh7cIgCIkS3YatxF
iQFcwI5kdDVo+8qYDVOwaTLzUiF7ikOhYTWfskoNLrU6LC5ylP/iviTJ0Fl0CHe3i6BnSQM8sVm8
ceyBJ/dKeioVyOKYJ4wHj7yd/EoHmi0L9BjxBXGj9YJP4QA9t7J11O4xV/XSatH8kf3/ZEdNcAqT
1PreImvj2ZFkX9PMyXTyLMV4OzcWhGOjiw70D2/jOdeaRvURugQZw7YAOlPsQ4a4NjwUPtGOj80J
iw+9QexuyR4LvAwReW6GC5Xqo6W4TbuoTFH65TKnpQb1YL0SKTIVxuRMWMIg73/F4Wd4xF5RPwDM
3p4o0iCBPRa7C4LGJo7FM31uHIEMj6OFEEVYq5ekjnQPB3AdvXyCyEHkvA3SDEfaCnWQJgxmUOtp
SVEL5BlnZyw009wrgmnxNa2NT3zp6nz/4OwORdvshREMU3WzgmPW2xLuvabHhay4dm9zbnBPgcNt
HYXG3WUkAyEoORrwic2slrCJJSUKDA91kKepT8JzrGWaP0B9c6sY+YX7M9vblYK8Y/HkQgVsyymQ
VWlcTIUXnjrX1WdQwdC8gVW7ndomH6sFVcRc0YJLaSIrcn/k3Yla1LqE7hiv982aLjoqUNowsqYx
3rJDhaPpBB/9ueja7Erz5Kg1szsezRkZ5tALc2O9XRQbYaKQOpiHQsp4tcwx/+yEBm+7LCgezLg6
YirdBnwKa+KwA++BHbEVIqS5UkNJZTwNXdyzKiBF0Ww0T+OS6+fQSc2T1CPEZSNJ+5BiV3p5/fLS
BqXMRbynRrI5jt1U5VqasbxqNaMgEhjaZdbxSdM67DqWKTxqlovPtU5XIcLKJjwfWLxAcTb7tprH
VA+HxvTMNA/ciQsoOxm2ijZV1gWe1nbWOTTDoyR5d1Tec7Ad0OikbrH+qLh2Uha2S9MDe6k/OiGC
OhGsOb9CtPk6SwNcmapTD6LB3pe1eFvycOf5B+1tPagyJZpTj4XhtQhxN26Pecy5BaGin5RoMP+G
8ZkPiIbFKVCZuEAWrrGiz6//ukABBdqT5+BNu7uL5nHpItXw5KCDGI2GBnqTeAtW0tJ5fd8dPY/2
Dg/FKJ5mgqnP03o9ZWeysyyntuhJqjb/kvNEOYP7LL8rgOw1uI1l+sf9Ce5EXGpflAtEoQDqmPhB
v9XC00xGnK7HymhsES/rozk+Y6PT+mjn/bo/0s7UqBdoFNyp/XCTbDZu0qWov5SL5VUgrtGu+AkX
LvbjOMndpDaPmvk7owG/BnxNWgKE64WX/du8yhQvhAVxS0/uNYpZGnUJq9cUr05xy2nR8D7IOm7H
IwRBlAGyL4oHzibPRTksyk0pDv1pxpHM4oZ2R5RA3Bxfb3dCaeQgC3jhxazjgAl2h0YvCT7vmRvV
22ywUTThxdAUs/oLhSf7F46f+Yd8HOS3mALqP3JU0N9HURI+xBVehBi/Q9mT83h8ohch02kohMFC
YH8lg+XRe/9ri6+5/Xk8cdDaQM3H5kus95WjSTTIiyjwTDUzr5zMylXnbHy4P8reqnNSdII/NzlJ
/3qUthwmaBlz4MXJiCZsWyIAmFufc8tpH7B3ONjBt0GQnhw3DMoJlgKESPya3/aURvOP1LEVHlXt
4KqAzNENLTEDCIvpHBkWAuhRcYQovT2g1IVIHPjKQup/C7TQtaRNInMJfV3O8O5Z8shN0lA/k2e8
ul9DbkfaTI4CLk5U29bzKwdnAUra8jjOoumxCy3rpJv4H2OWDRd7lOs3S+kc3Sw780PTQSH8wJMQ
0OD1oMkUTbTdzBjQnQHURc57Nxyt/lPedd1BA/n2PgERQFOIZyilV6Ds66EcG6mlPlQjfzC72M2G
3jhj3JF/V3LknDAlUzQ8oYOuRlSwa58bA3r5/e26d2gNrm3gKjwP+ZvNqeA5aOIXVcQ+hkrlX5U5
NO/Gcekzd6BxdZFzreLy1ueIe11tfsl9UWJpjhQlWqRwULuO68cZ9f7LHOJsVAPBOchSX2C0m2Nr
UCUBZsvJRZdw8wPLLNOCEEVa7F9nRO0aBQHIWK2kd0lsyInbjvimx1Ouvl9GtXoLD2N+Dook8ioY
bl9x1prfOQiQAr0Atarns+32OeR8xL8L09VTE99U1ZA0FRUtjTZnLU1HKyy+4WYCoi8GYULUwFVr
c0YrHfRPHnSR38vFp7KSswfcxiLBpcJD1gIqFOVth7htpSIMnXYXiesWAkNvv82Qo8HAiB7s/Y9+
E6OIgnANaRPSZOevm9RJgMkwEF90bKOs6CEs0hYZW7R13qco233E3jI/v35ADhJXA30tUfdZb/Og
K1BfniTdpUKvX9Wo1R6rXp08KyvKh2qI0oMM+OYEQ4hjGHC81NZMIvF6PKteet3AgszVY+FsC6UF
5AJQhWW0J+/VUyPJZhQoC8gSbGnu5MNSMhgFdr4j3mCnliLS385SZp+cXBq9onTagwFvrjHRgCQT
I+qD8CE/Ws9N4nXW5lUNFcTq+oval8qDrvf9x/vTuglM/M85dpQFkVFBoUpcPL9fLF2CCE8DC8OM
x8UvEUH0lbnIUDxBNGW0kWfD6qX8GKkoYODteYQ4vy0MM76FXj+PCvYomPP1+JEU1FpnJowPz8cz
1D584yxoIGpG135EkktDZjBvg/YcK6PyGb3o+Tm1qvoapsHo3l+KvQUXyFlolpQ4aHCvf0oFHkKx
QggxoepgzoASi1e0Rfv6M0nWwC6yER2jEbkJc3IdDWpglboLxH8450r2vgmGP+xqwM291F7djhPL
y5tN8DrZSltq7gxjBLnPXkf5tVKRaQ6Lpx5t5oOVu8lOxCi8HQTkjfC3zUCVMQcuMmJ1TYAN/tRK
ci8tNos/UhookguCXn8/y7Z1wHbeiW6AcnnpU2GAKLb1KkjIARWclzU3VjrzW6sWOWJNZiWfF71W
Er/TmqMa0f6IHBRqfBS2t6C7Rq0HZOCFb96wCGcqqBFzNEJ0xIAdvRlcx1+7IzVuQp5kFJThgmzb
nDgzYr5aMJ7aqxLSaXb3MLeWcRC0b78eo9BvBLHikH5t2TXoRIQRpWpIdmRn71WzDD2tcea3Y9Vn
wDhnCaPuUm6NA1Th7WKSe2EpqnMOCD7m5iBY4aKgA8JB6HAhPPdBk1z1RJKvcWLV1zFYxoO74qYM
RvRWdCo1qIlxSxubu4IOfO5UrQOUutMLX7em4qF3EIzF9ZCkKKB2Whp2eypz/YjpthPkGFootIhP
CW5vE1nmUJdG0NWaa6gp8qMdLtH4Kap+01q5NwNUPoUKrlFIcYyekaMhKZmS9lHGT+gg+Ig5rlIU
1oBDQcYLG4RkexNtuwHsk5kQ4iRlSP2grlHVUToLoaL5KLne+7zsK8rzJHSoOWyGauMQNf0ACYmw
7wzPqrTJbZRZumIegKdhi+ff/bOyO57B2goKsnifrqN3m2nKCIBUd/WpUfxQyllA/Hifer4qlNl2
PngF7y0lIBJOpgE26cZtpjdHk1cDig6pLfcnRU4yb0bC1O8V9ahRf3sxIT0jYjhFd7yLtmlcjJOv
qRUM1Vhh7ztkcZ5W2K9GWrE3TGBPGiU7lSrx5nyE4xxGQY1t5Ajp9xRg2X2K9DlwmyD5wxqs14lG
AKkVyRS9GM4/x0Ld9m4w9MSDwlI4/m1bk04lClZRhQT9E4ebFqq32yrFkUvHXqjjnkKlSBBI6E6t
N4lSzTSCrY5NmbW8uxSzNd5rlCjmE1HDeJYGEy3cKZWnb/c3517sgUBMXsE1CYtb/K7fsqwqWox2
QunfbeIy83MUYi+K5DifeehWvFgKx0NudvxQoQ5w8CrZOxaUaslquCUtZr0eWZvaojSR5nVxl6rP
rd7VpxjH+YsTdrjB4yTh3Z/py2bchhi6vug5oENFsXiTthaZIaemHHIOW2eMTmpYmDAnw97+c7QD
s/ZUrIixQZECM/dMLTTk05zHxVt5GspvCg+66YQtQKWftKlQQr+cKouHU4xg7Gnqy2HA8EWRZC7E
LqZ9Sbm5w/hczdsrkH/ck+S6qAZ3hplPz1ky0492rGC8Rf0fCIeRLH2BGcZQHcAbbpNoATiicMoT
hJ21RZZ1ZUT/euHz1hNMoSg1zZOGrKOP2TiE0bpHRt8xaxcdPbS5Ot6jB2suYttmzYH0UaxBrIcD
tT26jtY6lYFnLLovcvx91tBLP+VmI/8aM4Rd3R5BwE+dAiAVdf20aE4o/6ufsazCrHTpYv0bHo4h
bfKoqdF/7PrgvRH3NS7pVLaBJjdZvSDrhy5+mBv1cAJFk/2tj5V51MTcCam0hsE9vagc8BxY71XU
C/F/QCjRtSR98hRnzj6NE+ZAvLpn//6S7Q1l0DEGmUDPD+zNeigt66tKSXXsAWqgl3w+WjVKu3Bb
ZN1BeXYn5gii0P8PtbkIC11EOfT+XcPosVdSq+zbIp5DJx59UXbqinq6YrO9nO/PcHdYQ1SceCCr
5HXrGep6iLBKzAwzGnDZqamMBt94XEmwfqj66pvjxJIf6I19MO7OytI9VRVEXSBnkWisx8XlpJgi
fo8rN1qOMWlcn6rOrp8CVf51f4a7I6GcxROGqE2wWY+UUohyljnV2d9T/j2rJuvs6HWD17GeOl/v
j7VzBXMj/m+sTXYxoQJXhL3IkdtM/jSgivMDAW3zIHjuzgiRKAonJIsYB65npCONPGZqhcSHEtag
uGvnY1+qxWNcBkeMqb2hFD6SyjNUsC82uzKZppjDTDmjV8LuHcbno6/HLdSprPjz/tLtbETSCdog
NPB4HW5xp0NuTaMaBTxi5gbcE5oWZ8lGfRpBxPCSJrXycZ5y4/v9Qfe+F/A2sS9oafH0Xa8kZQMb
SfdYd+V4sLH/LrIvEsTnL/dH2VtEXtXkEVR3+Wab70WhtDdxXxDCDo36PWyKvyoMTT6adfovtjpT
ITdBhYoq1uZradYARnWYNLeMhvi5NGouEjUMK29ZAunh9ZMii0bvkFDMs2UzViWUIzIHIjT2Rp0H
cL2DMr58nrJA8+6PtPeRSKFRd9GggNOsWX+kaFZGBKCJjEqbTPjMI4pqdcGrsY6U6wR/F9Y1i8SW
X49SFYaNlcvMrdI1f8xTX+OyAc6vRODGVcyhuv6LSYnyJ9m6eGxuJmVKzqxXWJe5MdXQpwKnvMgN
cBGSDxZvJ7FjWv8bR+zN31JKcd/AXmccbYSlhXzz8mhlzoIwhpM9ZpXuHBQKd8ejqMuY3Jd0hNbj
UULEgCpfOMaphXlcELTx1yGeu3MdWdZz0Le4tb9+JXmQUN5BxZqcXfyi32aIbWCb9DKbPkpyAxmT
Aiv0UFZf/46js8YGEbwWNGA399WM68Somi25U5U7p26BDxCOqeLN1iEXay8SCn6ZTLWMctVNkwtD
ljzuVM0FxxQ/WQF1uC6LG6+YMUORAvvN6AR/v3YNKbAgKUqlEcYyRuPbNezUCt8YsgDeB55jVOZH
ZdDsz/dHuQXikbZRiAOJLxrDcF/Xw7T5oEYRdFuYJFZ2iSpTv0qUVGCt++OTZSUJ9GPWFOuuykUB
uj6VaFK4RZkcaRXfLjE/BOFMasoEL4hk6x+Cajb99Yb5Frk1PGuSFn8F59y/KbsaTSNefWdpMeyD
5t7tNUA9SRQgBawWXtbmyFPkbLOI04h4yBCe7cE0WQcbRUmMSQ+iy+0pFEOB7CTuvpTO1vNT4tBE
yYeh5lLYeTmx42JwnnoTdkA4mRxBx/aGI3Q6sPYwdeZ4rIfrcGtArZ9Dnw597QqEnmdGaYQAbJx+
SftcOijpipVaP2Qw8yK+CIokOckWKB1jHCKPIQ8ZnlqhSx9zvMqRrR98r71NAjKD2tRL7WZbBUsa
FPJgI4I5cdr4LY/g8YIkceLKy4hpdVzbHiy6I8/WnanRNUJoBCF+ducWHAyi0ulgaPPlpHB8k6lZ
5DsDYef+SdzZirw/bdr29CHp/G3yHr22zLzLGIXmJ5hbq4hOsW627xABS1/9riHnEVUU/lsKqtve
20gtajBzzrya4HdKxoUvYYS9gLNUpavoRe9ORnjEUt7ZkCYNe9GsYovcNPyKeon1quDWQ0P+OzLq
9iM9reKrJCGubwd5epALiXCx3o+COgvmghYVPc0toBe5epq0y4w+mD2P7/VkxLSvAxSa6Tyrs7oa
Xbjw+eMURvlHO1KPlBxvvyZcCRIJmTYNbFZjk7pkOCPKzmyB1Mfg8YdtBnKNi1Of+0s5h0dG9ruD
iRoGH9SEib154uTjMsn9gumOXaPnVcez/tQss3nhwapc7u/SW0IE0jQ6Ku+w6amgotuwjiuFZKm4
Ys65F414ecS4qGFBpma+k/Tzm7Cb0idjQhtpigw4wtL0pA928/7+b7g9j4xLw0pcWIjKbOEG4Gkk
U1sQyUGbd3qQY6Xyw3iJzv9iFHHvkn2SC+pi0X/LYXiYs0czO/dGKlbXmJQXPIWmH5z621MhMheY
NaLQx6zU9Sha10xSWlBQ01oq3lq8DA9qN4SPsTnO+Qk70PbgA+4tHjGMsjT8oVsgeKi3CCcDH/CW
Wms+dkpqPg+V3b76smNGIEFAraigILdlrTyxEL1dogLkXKpfowk1gGwpcRaTp/zUKeHReLf3wnq8
zW03lzSVIaoUnjVLzxnIqK/UY+drbJT4gy72j86JnIMc9+bLwTCm/SWgdFTvbigjclD0VR4iATup
jX4akt5xR91qrroAoStxeYTgvznkjAc7gIKUjZLojcwafu1L2yUDO0WKMOJoKno/GnAGfmXn3d/6
G2MAKvxiLHzKXzYJVOpNUjgRHkvUfXOvbYbZcfVxCr+xl6Z31tIPSNph1EbfDaeOOcdnpa4c7acc
J2p+alI5eeqWSP2yYMfylM0JOrlpllNSmgZay3qR/0QFhN+f5+XXOdfaq2I28weq2QNSblqNmXDZ
HLQrd1eOmEUPhhuWhun6jBUV2s8Tx8mL88l8GmWr942B54/dttLBprjZh2LhGAY8hlAe3QIR+snS
ppFnOCbE8w9jtIufY5DPlyLpIgD0dZsMrp7FR4p4e6MKXBjMSP684QRijUpOqU2YrknK7DvLVEGF
MKRTgITOOe/ozEapeuSQtbeqFE7gI8MaBva3iVwL1s5BbUoZzzsEyppEnb12jFpKhsURpHt3KHo+
IMzQGOTBt/6A49LOVghIwOtAgOHqZNRuGo+BF1EIf2085gOitIfgOzABUYRaDxXZ4aiPNh6R3Zjb
F4vGmjfgcuhLWP6dNScP/nP/qN3ep2JAAIw6bATUIbYADGkSnT2wK54yhUlzUvTSEYaX2WPfSOUT
zsztG2nC5llJ0vLPGHtw35KT8uBG3dlAjAL6AxobfYitlouTgxksC/yB2iG2vCbWMPOZ9OpkoIrx
1gmcGuF0vTgYdOerEjrJCamwc/FtAS5t3sFdxCPZQ9sw9oMkGD8vitXSiQEscX+Vd4eiWAV6E6oH
edn6q9YFFOZ5ZKiwkcNL22bhebDV/m1rNNnrgw2gHaE2KphPN336ONcGXSskhhpq51QGi32W6npy
y6I5qn/cpLhkP0LkDoCvsOTacrrCPBE4pSBFEyZ3PDlMjUuFgLlrDI7zyzTqyR/wn7w2ArSAytTR
s2hvUYFoC+0unhIUKTaLSkaEo2uYebgDZqehl1B0rTAHVqqgP6j07Ny1gEvBPohmAUFgE8EXK4nw
CO0zb9EGGTJZU33KggV/7KAprgr2nJf7+2XvPFBEJfszQbdQhllPTeupl5jplHlpqFaPuWXUflmp
xRkJIPppCk7HSZTUB6FHTGL1YhGf87dBN5duTIluaFDX9KZAQ5Crz7P5Exxv81IWqYWPixadndTC
Sm3S1fT7/Qnvjk1pC/gFdz8wyfWEbWWaO4ybeK5MnfZmKeTuRGZouHKrRW5T9D+xT1Me+8k8Qu7t
bSLKyEImFyVXICfrgZ25KGwpjjNP7ha833j7foGHG7qEqyMY6O5QZGsv16RQcFoPRZErKyq5yCAX
KB+WHFPfcrDgL/dycFCl2BsJZ1JIJBCRUITYTIpFm3SIe6kHvA5373aR/HECmZlMVnN+/YfjLQYL
nmQPSOLmZBTUCBNTJtygHVo8zHnS1Ccnyz/WdSNdtAoCM5ek5EZqM325P/LezUVdEg1YhreEM+h6
PUGdols4GkS6RVK8oMtUFxZ+9L4cZOvUN9McnazY/jpg1NicsKrDYEoy7INUde+k0juHa0VY4Nbe
zH8O4lTUTVKv0xPnoVcjxPv0InLrrPip2KHm0dY5Uni7eUJxUAXYhM4ReT8zX0+8itUcl92ZMWOY
oJPe9h+QAbIPCmp7RxJ6CkpGoo4B/XM9SpeH8xS12GM1KM28K3S+pz1PwZnb8ocVGNXi1p1VvZ1N
1C0OFnXvYoGvB7uL7g532GaCYzGgatTkmacPalO5eheP/tSm4dUw0uZr0lX2T9vB0vnU2PnsYiAo
H7k17AV8Xo+ovgu1D7KSzeT7tI5QJcUbjEvO5fkMViTqE2+Uqd4khX7E/987seIGJXsHT02Vfz1e
nJn0UiXGMxIjc+3ZWTylNpNz5DTZwYndmxpEIB79VIc4tpuhkgb3v7jUSHucWD05pW3C6g/aa2YW
sz+2i36wj26nRnwVqp600Kgubrv6pt4oC36PqTdM48ewwdC8k0k0MxA97+9HhL2RgGSISaGcRC14
vYiZ0PvCuDH18qTqL6PMYQckD1K6GfSDHXrbthDID/6gMy2u6W3cc9pCpxick7FK8fRdbdMBK1G6
xvGpacfl00yH789xyia3dfr4HJtGj+JYYZ5UxDvO+TiWB9HwNg7xY4RwKiERHuZWtS6TJUvvlpQ4
LMXZ57IwxtTNjFa/miPlqlOQV+2XsMdB9SBp2B2XCgsSxDawg23Lt1fp/3dDknoIo/6aJCn2QSFY
TygeoeOkF7OX94b26fXfGfYGVQKhB3iDtsesVxN24qmnj0oGa3BMsSwc5edZw2PjXwzFrYZsHlGA
d9J6Sy1jH/I/5TM3ABzPhh0vnJjaxNykOTKluj2X+D0T78SNLdD9m5DToklq9DpDjbpanoYU2ntX
R7OH87B8BX6mPrx+auLWAmwDMhT05npqTWz2apHVnJbCeIcdfOlylxdnu4uWg5H2ZsZDgd0h8Jo3
99Vc0NKCsZZSlIiFVFFRnZY6D09THLef8DYvDjB1t/ejgIuQNcPI4FW5/Wi6OoeSVVrYLip1fR4s
qX1X24364fXrBwJG2AAIWvu2W6+oJTX+vEo8VE5BtkmK6Rspra6emOPfH2pvQr8PJQLfb6XgIta7
IuoYygZ68C7tguSCsvfwL44y7yiakED64a5vcvCJq1AJMcRBQyyd3jhFZz8HDSqjxjAFf1gFZOeq
K4/IhTt7Q1iPCCEW4hbHeT21sC1ymes+9uii/RkElG4AClh4Y8A3m4NDQ9qdlXzR3gZeyqMfpZn1
cAEiVXaJzgmKAHV7biNzeo/45evM0ET5kveEKISR7dOs2G7AxlFzHVP02OvzamhOUhKUbo3Q8I8p
kqa3wE2POhI7Nx/UBOoKZKKctG0tDEE+mxE1sRenxoX8ZbhmFFmnOTlUINkbiguPwgL1TG6/TZiq
piYN044PlgV542EG0Z7ngssGLMlRD2vvkhV1TChV5Cpku5sXkxal8L4Jul42BvIJSxPllxLglH4K
YiG0kgkHGVwLvGhy5Es45qqLGEp2KfqicMfc7H/eP4Z7UxcIBZltytNq23rSYZ2PhtTEiLVL8Ttl
yYJngh5yRXJ4BIXcuVYtWqR0K2lVClnE9T5tMcQy86WKoaiCwNSsujmnVQ/uOoqbAbUiJQCF5CzX
105QUNi4UJHr5oVxU3xUaePZcgrvqokdX536BjNrAoKRxMnBE/X23GsQioGKwYKnE7w1fwDVb1Vy
GsdePo0Zgvv14ANew8OlhN/vKMjs3p/a7cEHyScqqxT7mOT2nQY/GMhYh9D+gmjcV2q9uQ9tULrc
H+V2h6CiZPFW4nDQYt7COfp0wnOYk+dN3ah5eZ3UyGa1WO9gCnO6P9TehOCu8jBDvupWxX0s0J4r
FCn0yNglEHAwk0fK/N79UcRpXteEGIGqMAT0/yPtPJrcNsI0/ItQhRyuIEhO0CiMJEv2BeWInNFI
v36f1mFXAFFEjbbK9sW2mo1OX3gDu5DdvN6HSJDSFhziKShRp/qktl56sS0kqFpyw2vG/+Y7kVJ+
6pr5CBmzs0F4xKkuEg3JltMmTYFv7kweTrIBLzAWL70nLp3Rzf+WS4qNRJnNB3t/dzzKpj+4FhyB
TaSHGVPYWT3jhW0xA6eq8lOhiujR05v5audweA8W8PaIkzwQ6dF/1aRezDZbqXukhgoiZDzpw2sN
XRfN00U/hQk69DSrzCcjEelB0LI3KCRV7jAye/TG5Ab+KZIYMoPIfJqmAL58edYz4ZydDu8rzRbK
O1uPqk8JfmcHgcXOqQAn/H+Dyk//06Cq3oKRAABBJ9QOT1WzuM80ocZT2+fR6/39ujs/wnRE/zkZ
N5zkPsvbcajZr5jlzn9p2oidhpso5SXRZyXoCrZSWTlvJpCRB8JF5MhTi0bxdbOUJvJC1RTnU5BZ
MFbous3BhDz5EzGoR33Pct9+zTAeIRq+AjKR36xiLRYPM61yClJnbk6EOv3ZRJDyNDqpc7n/QXcu
AFK7H5qA9L14i9ZrF4ZKN1SinoKO3s3zgsrCuQ0NWEdpmmraA6o4yjXU1PKlMsbwYOydK472nuyG
UYahKLLZN5k+paLxlpH3bvzc9d78YWrM9Mv9Ce5sTnyVIR+j1ESssS2HEDVpJcauYyBiQ6otiuTK
814HWTI3B3nJzuaE70fPUl5syA5swhkvybK58rg93ZLufJsNCxVJtXwqLPp9eZ12WKoP+cGgO/ND
5IASnrxHNR7c9QLOqrJQmknGwPYmz4/LXA2QXe8eUmfs/PufUq7H+rGAzA1THIY65ReUFdZD2VYX
at4I258dmfyhAIQ7mTCmXqniFUFK4f+gsrQ7HohNkDiAj6h+rMebQVzUY0s8ZM6W+1TkU/IS51EN
5XiKir8aTxQHA95uSCZIb1ZKtpE0bztOnRs346QtQ6C1mKZE+OY8J5DzDl6inVEQoZMAIykOBMB4
Pa04XjJDbxQRsGHzBwmDeMK4qDy4lHc+HkUb2IxAcdiV24LRMhid0HhVgyE2RoOIehyu4Rhl35RW
JM+L1oYHVYCdaUnGlBSKoD7FO7ueVmWNVUJTVwReZarX2hmUc3zMs789Y4StNCKQypHjbFHLi6tn
jWcvIuitLvkYtX34pLRzws08apSThfMRKZP2YMX2viUCFIQpyDrJ1HI9tSRRBPGKJcA0Fe5fyADn
pwiazEM8o8KdDtOR4M3tmSYDo+4o9TrhCmyhmp3XQP+qiwF/qGI663HSPLUmG4bq7RGMd2fV6K+A
pKLeBi1zSyCeReotXV+y5cuheWpSQ7tmMSnJ/ZtjZ0KcYuBgUuqZOW22/GKlSutqTGgK8/yjnrb9
OTUrXAfjI53V25HAi4C1hlMPTMbc3hk0q2KnTytiEVdtP5idan3ximLR/WRsvPhgWrfCRJLb82OV
0E3mCt68nghvDQluelMgkrgakAYvgeuDw4s+TlHS/RvGIwUq1YzKfywiGrR+5sRCSapMVRLYWrVy
P8Sr+O8CT2XAEN1i/DOO8/y34nbJlzk2h7+JWhEq0hoU0R5mCsyGn4+6sQT3l+f2UEEGpLyAVoYU
zdhiRAZ4DpkRJX2QRFRr/Hgqqq8ZTaPIL9Aq8VFch47ljQen6lb7gPIktSHoBSi1suE3T5fHfdsV
cd0HA1Svb1O4KEggD9ainWsh5v6aiNG+mNJ199KOsM/tOTT+U5y2tv0li03v4AK7PeVocJM5SgAH
gutbB+8phgMw0l9AiLxLnjvy5PMc5fnJGLL+OUuc6OC12RuPjjSYERrj7Fh5NH8Km03c3zMt7Qm9
Cks/FYjknr0GIm4MctIX2GkdvAi3R50iNw7l5CRcLzfPaTfQVMkrosrESRqQDi3nr8yOYuW9UeRF
Sb+WjjsX9XpW2IIC0gaKGQxl6l0rjHEvNKTagx17e8ylJpEUN+S5JhrZhAbD0mpVhOlsEOlucqbq
1n4ywybzVU7gm7EhcigiVMSbaQNvEQTpDJQ99xqCf8zGfGspxj8KB4tWAvLpwQ6r6Lf7h3FvauhU
oL2E7qWUSV9/wBq9NZhNRMW1ObmnFoXy1NfLqvNTw87/fvtYMgxh+1G6p2CzHqtTasGGQaRq7sz4
mbcvPFN6yl4GZS6P7KZ2Lhk2BJGqNHEiTNjMq52mkpsgInVThfqgTJ7jh3pc+TUQpMdmtqaTTpJ+
vj/BHRABciaExghT8yyAK1/PMNSayetVeUNPjQCrmMSfi2wUp7jkfLmzJR5mVMIedWzjTl2jLpdu
HrTv93+EHGMdN0vcHdVbEFuItW6BDJMXecuSs6KiEaj3jVKGhKdgdP+6P87eziFMRrNLktXQylvP
1c0dRyDVRf6xUCouaCj6ee3WOMrW08F33bu7EB1iHB5ZktTNUHQS5lGZQ9TNOId+ipzcpU6RNUjd
9tnOxuH3+zOT+3DzBYkp0YyRYZ8BkHA9s2XKEtxkZZZaWhpOokA1ReLVjT8si/Yw9xgWx7Hw/MFY
jrTWdratjMDIP7gBmPEm9gOmoelFmxFQREsGhdLIkY9IAA0Yeq98p1dY+pNTT9f7E95ZytWom+9r
5NG8LCMVBwMhoIfMzednLYqmU+2JI3GX/QnKOrRUEWXbrL8tk1YadeZ+m9QouUymPYNpqShuCJ5j
TNXHZzfTjnwv5B+6XVAJSAVUTG/d2gImnbCaUOjQkP/LVBsUXBu9D8flCJi9s0vpw3OTElyRKmxV
SnmkzNC2qBbFOqbliRd97/PUec0XJ7wUcXh0/n5QCLezothH5Zt4CqNE+al/etERNAiXvgIuY3du
8cGKc/E4RKEJjjip3mvTpPzTz20f6J3TPSETXb3ixko4iGBgeuKWyF6TYYk/6aH9TxSb4Ym4o/uP
viuV2NyacYyLxFHnce9gwaojXaMJjv/XpioaRiM6hTXvqB4vUm8KxfC8BWhZATgKUHeuzpEolzM9
fuXgWb3ddpSbuRVV7ma6INttN9q91WeOg6qVWiez37hZ/Ukt1Wb0Kd4nH7VldrVHAfUnOhj49mhR
mlHJ5CiPYhCxRTQMgwF8ZKYQ3M+2fVn6xnsm08/9ZQjDN9+SDCU5fUg901HayljbvRra08S1lc5K
CbfXGepAaUf7g6VUTednnXGkYrQ7OZkzAhQBKLMVJ1eVpkXNRfDI9tYYJIlnXwrcNfxEb7WH+1fU
7dZhcvRYUfQBXs7m2Wz2UOipWbJ1it4xL72+ZP9mSul+wM23O9cDxD+rhxSqqtkRXP/2WDMylxWN
Ogop1FHWIxuR0TS2l0zBXC/Tycum8F1V8NjF4Yj4QZnV7ef7U90dEB8m2thUv4CvrgckkG1mL5GR
s+s0zw50Pj+v0upUtJN+iROAwvfHk8/Z+h5x0RGlm4Vfi8xmN582MjVhhjVXcoFX+lPSGuOTpyHO
M2MKFaDblH+uAHZcq6FefHNp/3zz6KYja+sGPwBI9CapjfS8EfQHyQZtkx5zlFDA9Y3C5Qrz2v6U
wfW4QDcrX9JE9GdNb44QbDubePUDtk/u2ChaMTp90Dc09GiVgCfpi+FdZ01HpKfbd4i4gjYWvxdw
K53o9cpOWuZ4hVeKAEvsLkAdElkQtz+inu9NiNuOA0lVEZ3Y7YYdR8uuh0YEjU37Ppy5aOZQYBeP
KdDp/uLtbFXZBaVNQcQiJdjXE0r4l7VmChGoGU6qoWZmfjkiW1jPhXqKlUOBqb2pQSskdmBmhH2b
yGwo26m2alUEVhaVD67CRRr31fJSg9o8mNqtTjXFFnIQRDvoCeJXtdkXfaZUAqAJFcZiHlQCMPrZ
fjYrzl+0t7zFxyLYumDGPJfXWVcxG4+R5Pngitgq6LoJhIdATmjiTLW5+pzNof2ujsgIrvdXYG9L
UUSgTcyjSqVcfrGfggC6b9SE8l4EetK3D5FZNkE/qcZB2X+neEKAiG8XnH9QgRSr18NMgxt5jaaz
0FXdXdquwrVOoahbtyl+vWWJX5xeiwsmOhNHVnVPLuK5T7C22oNl2dlx/BBiB0pupALbJ6eZYeKK
nB1QiRzhPJiylo+Om30ivzWgLEbOm9Mcnjebr0seQNC6bazGejLURRqNwRQn4tFxB0qWw4BMhhUq
B3PbuYjhDgBB55Ygd9x2PNSiApc3j0NQ2ga2BNDEHpe0SAN8R/oAdmECrUAdHpolXgIDz7qD4XcO
F6VuSnKMLfO5zYYXNmzapHJpuCSR+uTmxl8FVjy/De3h2drZtCRy4CA5XBSDt4jsxqzrUk1ChJzL
2qBl3LmfI4wlD0Ahu/MBa06dGTclmsLrPWs1uUkkjrBgOxXLU7qM4znOE426qVIffLqd6ISCDWoY
UF7AeW9Dr8bxyoImzBBYdlx8FUtXPuWhZ7xqeqb7Q41RVZlok1/05ttLU+C8qadQnNJA23mb8+8o
7ChA5wMaH40WwLohxG2q9DzHvXEQJ+xeAtBApGoMiB4u/PUHNWdHdL1F86/tPQrNWhFdizKtzlMW
f+4rK/s4WHr/jouoCAZ7yXzhudVVjOrbWY1UMVHlk4g4CZfcXEaacN3GrfIxqGa08vx86Wg5qVo+
fYtLE8x0PCMndv+a3ckfAERDIYZISXvX2JwNc9btfEnp63pNn9D0Hwxsqmzn2Z3x3JnwIzspIfpR
9wfdOyZyYemFI7pKyrz+3jNsQqFbgu9N2uTn9qS8GnOVfrw/yt4xIaCWG4gIDDL5ehQnNRLLbPHE
M/rIOofhUPmI2TXvJ706IpnvfkX2De8IJSOwDeuhvGhOBT5fQ4DnMXKKWgjLNhFDdUYd8l9Uvoav
uWoeJf978+PBAkzBjnF5vNaDmoVmCbuqxgBtjolNKboqUIWtvxe5dWS9sDdBqt0qu1O2Gratu7xd
Qn2MZ64cbYjdR9vqk+S1cUPV+mpM8pWKKjRzLX3Mj5pDe+8iAFSKAVxpvB6b0HJcZtPs0VoIahWN
+ojYPaiHTlxEoo1nYIVHIh1H423C9lALJ6NOGS+p+zRQmyE+501bXdTZcy/RYBypjO2tIoQWwIT8
Qy7nehWlpNAg5moIFGBs3zDgwzNbhCYmAW2VHLRKjsbabFNjQgEg00ECgELRz+NseU/lTCWsmuMj
mP7uUBSM6S4jWUUXcT2tqDca9CLBABh1YX3tEZM9xUOhnifFfjuNjyYvoA16bzKV3lYissFTxkpn
b1ZK611Ru3OvegsQwON4XO5fKXsXF5I42CUSP5PxbDYHD5BbWvowBHCpTO1c8j0HSUQ4upX3NiFJ
ALsdhSbw15urK84Syu2mS1Rq2sknU8ltWgtW+lQ7ZtQhKrwcne+95ZJWrtAhSVnhPK2Xy8U2Hs2a
CMwsEdpFtYV5aUrM2cJJ6AcFj92hJMQBC9cdrgjN3ajUl5BAV53Lc4aF6Bc2hqAUYKUHQ+0tFwBd
+iSUR0kYN5+xDV0dV+BkCLxw6B5LUrrPinLoWbA7IeDkNs8ord8tXgmRrsWNURIKKogU19QucMOy
B1H5SVVnB2/a3j0M0Ox/x9qsU29Uhps6YBgQHMivfYWjdFZO6Z/kc9W1aTv3ksIu+4VdT9MOoQUQ
5pQ5ZZD4UyqWp3XfiJQriopG9W+htZC4ot4ND6KC3e/4g4kruc0gbtbDWHmeinJk00NyTtNHLY/M
JzcyOcQiXJrg/kneHQwqloRrSBjy5llpQXlV0VyTEwydGfpGbcVPc98q89XUuOX9XxgNVAB6lcgU
YdK9npqGhpU6ZOkPJEr13g5HPEIm4ynKD+W79ubFt8PYBtiTZAWsRwq11NEUaHbAh/IoUJewfcQY
5Gs8VMpBFrKXGpB7kEKSoiM1vwk/7KVp7TLhC9Z4XH1TJsQFnErPpBZ2ch76XvXLSclPy5R/u/8x
tb3bUYbIWDdi6c6pW88xsj0lK0ayrCEZ82cVBzWMJebqmooB1XehWNe8MKePTT0k35FQCp9bPUXL
HP3u7FzFVXe108j4Qw1FYb/L7bj8VxjD/N/9H7n7G2VLgDucruV2M6NIXqeax/tHehtCshyTh9K2
uwvmluKdN6RHRiZ749GiAW8BcFL2IdbfxCohqDYOL1MZeojWcklc7G5G7F8HBYGn1xG5em+fSZAL
4S4YBaCn6/H6Ukt4Tybe92xGVay002+mlEavevdXMkGYhXTQZAKKCuZ6KM5vTKeSqdlNijsDRlDt
N1S2BzQga5xFTvcXbm9i8r1wkQWC5rXNwSLMZq121gZuWL18qGy3eSj1BFHBAvWD+0PtrRloOJl8
gV8Bd7qe2DA4cWSOVIgH2cqPdGytp9KcSaejDK9tb8j/uD/g7tzoNZA38yXJdTcDmk3vGkkqUDEz
lcco1xGJLod44aT24cFLtff2IkGH2gHVA5mfrMcio3eq2WSsajCH1yyzeyUgJxycg/XaGUc2XKGQ
QWWkH7V5nBy9m8sCGdvAGo340Srm5pyHTfH7/S+3OwqQAHqdJFs3jVaYPcVQRAnVyKLrqstQxfpj
lOijd/3/jbPZ65RxQCjyDgaAtCZ/dqcaEFecHPTufvDkN50RKs2UPCWWgkh2s/Ms00sGDWvYoNaN
eH6y82rScB3IuZaGJs++q31S/TnOVSsejCrXyEhEDOveBF/yJxZXunFWZ6t71NRIiYOClrPwyyR3
IBHoTv9HW2qa4qtGnHzukzLXA1Eit8WllJfR+6HNSv67fDYGfwhLYzkJ+LQZtYbUfHQ78olzW2XL
l3bO2/AgHtw5cJL2h1oMWQmls02dZ7Q66JMD5r5hiUyuWyTz57aK3Ad19MAbdlp3eftqEhOyb37A
yrddhCwsTa9GFyJAIDct/HFUW9/p6/ooR96JCqnPwbAlnqYqti0/6F1TpEOt0ulpWwhpOuh/QjY1
wKqjvyg14UxPbnSwVXcuE8muoPlMFZIkb/MCLHQVF6PnY6poezyM6ZS9dnWh+fAEzIN12zt9Us+S
pg/KCISi67tE5JRWMMbu2a6ZRRWsyL4Z9IQPApq9UWQjQOpzSlaf3D0/hbm1og+6EpU07BpV+Q7G
dERUmRJ5cH9T7FUbZexC214qffOIrsexvD4zO93tUaVOhBrY7hR9HPIoyU9lmdh/N90IJ4ZYPhpf
xrbsP+PnPv+V2rainU0tw/7k/u/ZW0diOGo7GB/BR9gcCrCLdQqAlCvHoIC1RJr+ADb2v1Lrj0DS
eyOhCwd2S3Is4MqtJ96M6qSGC6bpLmWx3weNThdSs9nkhx1k1fuz2jsSci1JJKiPwTJej5VNUZZ3
htIFWqc42oseOQ6wxiFVqpOJxG326qWKm/uIAE5/3R9Z/snbu5U6KrcMbRUei010Ond522n43gax
peI+Mvc5Njx49nwAz2yfYKjPv7CANEMh2zo0RqHNr6caW4prKspAGJHrma84ioPEMnL/ta3XB3t3
d24EmJLIT0luK76Q44JtZqPVB1Vv9o/OmNun0IqH62DX4tGSWsj3v+XujgHSiyIcqAH6HeuptZSG
iWy5Y8xuCJ/jSjFw1vG0JyPWjjode1OjuSzt0qkkAaVZDzWgWdQPKAgEzmTGDzPZ4amBX/wUpany
t8L4B3HL7jUAaAvdbyJA+L3yB/103RD9jaidwoYo6PScikG4iONP03M9lUvkj0U3fS0Xc/7bcnDu
8w0xpVdatdEn28jKo9Oy951//i2bk0mlrjMjKvLBwLdBMh8WJ+LBFtIocfQLzwZ3HlCXHxoKWxBI
HBtDYw8QalBvE6fELDWQnGl3adrJPN/fPXsXOrrA8hBKR7Dtc6+pY4pgGrlwPCvZKdP18R1FWPX7
/VH2+umgp6UwA6UVCYnaLKRrtt2kTAJKbOXY53TU5ouRSHV6tYR3bLvjO8tIq3dxCUava6x59il/
Tf2lzYQzPwiKLlcA4NWXMrSsx578+SAU/wGB315JQGaBDSMAyh7fPNU6QoolimMCdlnb/1stqfNi
qvM8XUvOMZzaDpvkInM6DnIduu+j3Oz/jk0ju2DHm/6Z1IZW4FLpdnXQ1mN5sEp7e48mJpmkxiKR
T64/X1kjHaRRAweU2jrJqRlD9wG0pvVHB+P24D7ZO+RSK4BcgdcOxOR6rDYVSEBMswiSYZw+Z9iW
nEo3DLEMUxa/SRLz0/29sTM3iE7giJEmgBK3PeNVrMQdPRV0V7ncTCLg0egwSSOMgz2ARP7B9GSu
s1lnNKMhenOn0K3dslBNlF7HwYWFlIau6dsCWfXSHB1/bOryBZyvfkky9Xd9GruDhGJ3nhw0Piwl
tRv9H6erYI7mEJOoTo6Bqafp1c2A3auDeyS+8CMeuZkksENeV2lDsW0Ml3CWZkNrONWlkTw0s9D9
0qmF76V4HCu965y0sBs/RQr3iTImmA4Y85u9nRiZziV8X2Tf4GJt7+4QvFPc0/ESwtNQH7P/FKIr
zx3aFwdLuj9dcjRwGtKPYuvB67hpAx6f4uuwaMoHq4ysV8hf7pM3pg7WDW3mL8vsBAUa8r5jzM7Z
TcOj52EnmCKM+t/fsIW3unA3yD/Qka/1rv0+qbSibYxGPiN0UD6NU+J96tIie3vQTzBKS5pjQ2Kz
Patd6MVKUQAaGbph9JHa0J9D4tSDUXZuBElqoFFF9UAauaxvhAh11j63GUXDzuFLFKdVemrM3nm/
jLN6DmNKMwcruvMqQfqVzVSKWbLLvx5RVZNOhJ3KxzTjGWqzFhOH9r0xvr3YsxpnE9DAFYwb0ApU
BK26voxTEZ6bGrzNWIzNgfzX7pR0sD24mJANbiNQzDfzYXEES9VUI+7mmCSZTXJU4tzbhQivIivD
VsRdZFNRso2mVeuUpRImcX2khzLYNaezmNsmiNtqeShm+4iHtXezEedSpYNAjR7EZlDXrpDpFHxF
T63KJ3VGybq38CPDPSE+iAh3t6KsFABylkbtm1daWwBL9D3dKrtCBL3ESVnzF5frDZhcHkRl131+
++sk2+oI1Uvri23Tb3QRkI4m4iOjMWCepws9U8WJvtpdnl1/ZShiMTIU8MZbNpY2L64yy06c1mUZ
hN+5Cho3dc9OZRwxtvdWDC8rJNb5m9q0fCR/iqvNFgl5TZGXVVM1v4lmif7Ay8N6N5Za+OX+rPb2
vQzdJTkcZZLte0vi3jtilE0kNXW/wJ3Of1MQLTjYF7sTou5FGosqHIn6ekK9qkAt6XnwKNspF2w9
Gn/M2vphLNWj12ZvC8ImAbKMyANQpM3dFGFPMmku73idC3yWMJh+yNs0+7IYor2gzxUeXBx7Rxpw
AJOS4jV8xvXUWjjoETYFJAPm1AS1UL0PcTRNvkuZ45zERoxr7xL+dX/V9r4n62X+IEERsGzOmZ0q
dT1hjhJEReZ+gd8/Yg4u6udwREr9/lB7AdlPQ20zEJLlrMlqaiuqGxfTJYkT5X1eOUrt21hrnpze
Kl4mpwQUyXXnBfcH31tM3k00TIkdqJFv9s1Sp4lZK4CypWnQC+nlh9xq1UDV5+Ul0eMjD/a9wwCU
C0qBLO0AZl+vpY5lInKwIxhwUw0vrWlNF6VTj/ScdhePVE5yybgpt9Ffg7dTU2TUkKxkic7YopXn
Ma4bStNhd3Du9jYnm1IK01F8AEW2nlAcouCE8xebcxEz8Jx5Pqd5Wvp9a+kXIzPw9IgRpr6/aLtf
Ecwa/RGuZvCy60EzvdDTqKM4CGovu9Y9JhSQQI5aanujcA+z9ylEAvjYbI0Q+Q/DTnLaGVNRPzu4
n7/MfVic789lb62IWVEsAW9Obiw36E838bTAwbUGdn+KQue3JC0nHxrPHPlOZv9KVCW5adBDeV60
G0ws0vu5sKlgOLVrXVKrKuDSuEc8r70jRUDK9WhAYyYKWc9I2rqnsVChBCl9j866KaMBq7jWRVY8
Ok4VHRzhvSIRoQBgGYlTYMzNY0YTTwVzAW0S/2TgmcniXXMlsd+ZyhKfxxDgvrHU1qVZUsXvM7vE
q84Mr4s+H5nJ782c/rI090AgjsbReub9OIx67owkd6Yl/jHMPD0VoFzwPsOEQotS8/e37x3UzKSP
CFbH8ADW46lzHYaFPTBeXikvROHZKWzc5NVNoQTcH2rvMNAPlagJFBRu/dSTcHa9ESZbPLXeJfK6
7OuIn+ovREBIUBFqIRtINLmZkJbnsaFNkJ/qUFf8UkujYFZcQljF+wX2GmQc2GvsHCl9srlDqpYb
EZ9v+HJ2H/qpFVZ+o4XDl3we54Oeyc4dSeOAbjmIHUQ8t2X2Luuoh3lSSCy27IuRdqU/5/V4QSOt
hcnguCeasUcihTuvqjT5JIdCs1+aEqz3xhCKJHe1no6ioaR/6KlrPFTtIE5G12b/zUa7QA1NPnmh
MA4M+XYuNJp5gAzpaZP+b/vnNaAHengwAgclgbyFzNapSuv6RD735xv3JBUjyXeUBB1TsvPWU7QH
7NOTJKbgFufdae7AB1T0Wl/vj3JzqOUoPG+sHLAkekDrUeKsKSna54wyiPHJBlXzvsQp5EKI+BoP
ypslzuVwKDLAPGfDkMSth4tyY2yHOqmDKnbdq6KKNlAGM8WnVTPeetrg0BAgoEHFDcKjsA1GZhqX
YdXXQeNN4sn0iiXo5rR4RmzrKDyXf9SqHiUlAvkiMKnITNEiXc9K7aPCKSJCEETREHkR84hvYZle
EihD1xB0r498S/NYU+72R296s5SfHJ7MEA1U+GNUGdfDF6h7VUkH5qdA7+hMuax5rQtJJyUgC9qy
od/V8pPub5ybgyAHpUcqsfu8Bds512qLq1gRNYG0Ozp18NAvlYK1p5GE0eUXhiLzBsxGEZzts56f
vfDmdpZRB87iLNcu1blcbEL2unXmg4fg5jJjVkQPSE1SJpeePOuhpH2VDaajDlQvkp16I+x+1+NS
TH5Um8qnyuitT1Ay4q/3Z3jz/shhf8AEZC4JKnY9bMNPacdIq4NJqxApmHn0kqjqf+E7ymnpsLaR
rdme9dGaIhJg9kk59OXVsBQ9cBNX8/sx8s6/MCEJDeAKo0669bSNZkfxzJAJ6apTvxoFh5Samo3e
0P1x9nYhVSfwm7x2yKZvrq+xp94d52aNvldSnN0m/W8SHniUwTvqJO2NJIl5aPYxIQr66yVCZthT
KJZUga0t7oMLVsVvUk99N6RW/dY3ht1Ax4o1Au4gAaProSLePWV0qI9YdTLi4jyqV3eZeEw7M3+8
//12rn+aIXDc2RTwY7YUS7ZAMqBhXgZRZYvG7+ZcTV90grxHsAfuIFUrsuJgzfbGpEUA0ktKAN/0
5TGIMxJmiAdqNybnBJ8lP+2mxde0Xr+WrnvUHN870z+Pt4kVpjxkNQfsQS2h8VrXvXJKJ31+dEVo
oNEQx9e6yY60juR22D4JVDTY/RpP3o1NScl7bXVqUwa6UpZnSuPqKaew8jxNri1VuIEC5apDqOlG
J2Oy9YPzdztnmKTSQ4QsEvq7s5mzk1itXbfcYyWKY495tBjB2MP6GKK8/6xmY/Po6ByY+5vp9ohI
+irlBjJlmHRbBTxPB7XSDCgz8E+DnkSpPE2kE76ONMSbrzL2LH9R2kBrieHWR0RUBGjsaGn/PVm/
dcM0+5MVFp+L1qkPjsht6xT2hQa7hBYeCAuYyOuxUsvOlYWZAcdc+gS/ic5N/VKpst/zqazgBOIW
DFCgiPqTmLTuBcA5T24G+UznxYqS30MvMwvfqZf6U9vExef7X/327SC/JkDkyoAA426PcDNUVENM
m0+hGOnnlGLdScVz5ev9UW4PLZ0nwBHoL1EtQF5q/REwjuzz2CXESVUdqniiWH7kDN4XkdXf9bF3
D7qJe5NiQFJ2igaAp+VW+6lusMx2azZUPAPX7s1LCwu8+YBJuX0kcrg3LUmjhfGJgslNtXMazHJh
8zRgtBs0yPo4z3yAppFfel30vhPKUYX/VtmG3UQ+j1g34CC272bnIuukUoJj57ppHD1OcIPfeySG
X3oF+g3mjbX5xZlDGITh4HQvofDE75ntdUGYedW3tHTt566P3Gd1KMnpDK8ZH+smNnHTTaPXvNYS
uljNIQhHbvH1bcaPxkBX1miRdtjSP5yQpNkwkxYSbl86vuJl6qdm0fMnA/PN957Tq+9Kaza+z5ri
HaSXeysEakGi0oj+kHld74QZ2a3JHYwGCqf5n5gi773QFQxLLKv2oVkPv7DPgRrBvaXxKIHL6+GM
MvFCtU26YMap6J9SsaYHgQsG+g+G64vCPCrv7NyZP7TMHC5MophtZT8pbbPsB6VFnEMf3sd9q/kU
Uc3H2h2PRId33gSGkmkeKQDJ1+ZMqWbcqxlmOUFntcNycRtRn0uVJOEpajjAudG5QRclyUGB/7Z9
jdwXRhu8RoicUTra3J9thfVsm8EJWHBWRRIr7QC5a+HY+mkehV+xg0s1nP5qBCIpimo4exmzW/ut
GeVH+uq3rzI/BUlp2eaVD8Sm6Fl2Ye52ld4G6ijE91SYSKu7xfSu1cYY2TVh/IY8QYljhD4mr3OZ
iYNna+cc8VZxe6qUXWm4yc3+07XmdUsIB7vrgjaas+817hu+EycxUgiQI7FVjf6ZazE+1JVz1IbY
2WfSg53slHXgid5kGHAJLa2fRBfUruIEjT1GH3U1ip+BMeSf7j8Vu0NRnaGzLSuWWzRPD0maZkqF
CEyJn3GxRKYvAPGdigSk9/2hdi4Haj9SccaVJdJtv7QSGnR9hDgCoWJOc12Udux5mi2Anlo/F+dO
j4/y3vtDgqVaL6GbGngzIfmJj7JDy9R2w4Tk0LKVU7Io87uhs6a3UnY5P/83SSAK6xEbx55TRQnb
IHKXJYjsllZRPy/vrAwk0S98T3lQaQX/0L5aDzUqnZaEZoZwazYY3xJP5O+WoVYwqp4TiES5Z3+8
P+DegcBmhOI2OSn30mZudWzX6pIgahrrIvHDqqwevSH5N9GT9iNs6PnJ6SzvPYIIRxyfnQCDygWQ
K+nWQctqEyAjd9B1RtK2QSgy+0qS056Q13p70ghBjYKMRAjJ/vrmyp2bQhg2WXcQqfWfVZkvL4am
hfCK5v58/0PuHDq8/OifUvBCqWNbEO26ulqigaTKDvGbRJuvCcYR5whkcI+gQDuXKCEQ06LBBzt5
28g3Z02HRKEVQWsYojtNWto8twImINJASvfkoqX1WzyM5VNpltm7VIC1uz/XvRdFMtzIrgjJmfPm
RVlcZ3DKH4AFAVUqjcd/hoGiXqNU5rU1qNtose2eI6Ihv+xt70rYfmRruHMNwKwkgSUk4TfcCIul
6jz1CUbuZjHmFzs1xw9j4wFSns5J4eUP92e8s1t/FDHhnXNUgEmuzyXi6N0UZlw36FjEz3llx18H
0SUHo+wcRkaBrkX2ZpF2b96IXGixQwDCnDAU/n1QM9v3jKJ58Zy6fs6wQXglgqmJAZeje2dvSxHg
QT3nMkD8ahvkTe4cj61KSSDSrIe4rd2gTGktRUk6PnRJp9Bj0/RgWozq4rhT/tv9z7u3mLCOaW7J
/hr1zPXn1dMsD2uTCkGqGQtXjvO9ITy+5ML9T1Vi/e2XrOS+c98BYCSo3S4m8UnJ21tSjh6dK5Lq
/YtVZPG1bdPxpadccfBI3i4r7XhGogujE4htubKV67Xp0CDK5o3h/Cm2rfBUYK7hA+ezroi510GU
hFiphuaRpMAtLpowGhQTJRC0g8Cjbta1CaNOxFHdBY4VYf2XxVZy1oXSctniDJ776qybD84yWmdH
GdzmrDpzdu1IbbJLVsWmr/ZNm/qKXRjoBCqwfwZz7P+8v/i3DVZ+JG1baY1OEZEQab36rh2lVTKi
JtpO0fysL/I1Elnli34q0cNy+3eL/UqbP/gfyr5juW4dWvaLWMUEhim5g3KyZMmeoGzLBggmBAIE
8PWv9x3dc07Vdb2ZqyxpSyTCWt29uluMavIu9RW5Ggr9t3Ha/5bn+DUwDYQVCIQA7Mg/fw04TVSS
MQs3rLWorrfEfWMG4V7BldMpgxfqUdD4N/j0vwsfk9uXuZGLXRVGci7//7/qUcy3rgOjBvNOqMHF
MYneZd0EN830DAk7fCHbTQdx/r8f+H+vKtS/Jag76H3ApP27o4ParC4mi57bIpOkByHJeu8q+mjE
RP4CI/yPiuGfjWuNdhV9xcUFHOTIv96tDdgS7QxnKppsJbKNFJ1jZ2jR5l0m+X6zDXAqPyMxUqGZ
3iGS6d1S+Z9RJ644toWA10saSXPfWK3nPoHA8duea2RVJE1ovk5+l+GEOGK2dWZJzePqpuZvHeJ/
3xHeDcEDg6/Ehe38V6UCye9KJ4FFaQX6oXKv6h5yqeQPW/mEwUk3v/5/vx50KCgjgHgBgPl3u4Ys
Zfz4etSHWpSsgiumbJ8jjA9fNdnx2P7yYf89nKBmQ3MIWgeHL/7xzxUoRyFI0DVyz6d0VfdjXlDy
bR93JNrDUWPGJIJpyN4lSOjdDsmUIIuSzFbQUw0uXZymfYNjddCTfM9BKZpuXaucd0268ns2DwDN
reMUCEoSHwoLqVDHW9m+KYl57g6AGoIZ6N7UTxA+8tdoo8y7tIYp/YkKwh9r2ti7vUlSdlhX1ESd
mjio5XEq6qWHtNCsx6yRBHnGFKK/fk8sIcgzRxDglcMMWOi93MNwinwRsmMYpWU38ziBIhxXuJj3
7eRTTIdFCuNcJL4wgfjsQbjTlqjG3jpUefxDQwiKNIN8Y/lR6RYOuAVL6VPhx0xewbQMKRlLNuka
6FjVfI8Snkh/uT7+u/4gjAD4Ahk2YCtQEv98Q1Ce5jyvgGSzemg7hqT2njg2w0S5bY9T4PX/dyWL
MST4Cf+PSOIyyvDPz0OESpUZ6L4PEYjjhymVPG7wYXpadpjN/9+r779/GvpT9KmwVUITgK74nx+F
bACmMO6pDvmu5jNtMn5bhwzCq3oMt5hC+VsT/j+01z+PI3B7WFU4+C43zb/RnmILBfRQkPYGShL/
EHId33NhB3se8Q13S1HQnwZ+vOyAKpaypyms5dyvgGpiX1e0pW9r4/c3XNXD2o0ghOltqXX2uUql
VYfLRb1b4ClPg1+BoPCBxeYBxs9o9pVj+/WcCLjJoePKfa/HSqXdlg8th8ldS77WpmAfBMnbryrT
C+1INRN5nNnkWRcxNPNV89muPYQy8teCDNMvqViSb5uDag7uEnvzlRsY33R6YOYaZO4UD8Ni9TMT
SfobInR4ecuWitjVYUHRfnkb77kt7Vf4wFU3kxnz38EhxuRQlXH4iRpPy2PmI8KP5YQw38fImxlU
iVD1M3eT+YrQojh3TULN3EuDIfPbecyat4hRO/awGJ6SbsY6lV+i5Tt/irZWFlIbU27TIWfpQp7o
DDPxvs2XERsPzgE3U9P6r8XGydYnhXIfiZ4Hg0EtPYTTii0AS064CQG8QnjleLAQmM1ANuj4PI2X
IOoyo/Zhh21T2mHaPaxd5oCanlbgE682EWhhF2SJbH1FyyA66zS7jbZd9yfrY3JkDLzYX9b3v2/a
i3s6qlkQ59i7mN741/resc0gE4YQzFda3mRbO91hZETUvQ74j7982L97lMuH1bhqUbxgJAZyyX9u
pm3DIEWwJEMkajr1frL1qaH2b8Kf/1RrF4rjkuSHm+kC4pHinx8DRr5UGOlL+0wsPDkuDfO3QJvo
kTCcu53OW/+FMmJvK6cMLHSnpty7qUkT0WdLpv4meYX1x+UP+9+bGr/R5TlfhNkXp/B/6zVhKJgP
PtQIolhQ1r3WdkociD3SariVVwN53xlSb0tTXuYBMwVDBbaTJV7BU0XA8XRRfoO6IE+QAC83Lb96
hMEX0FDtHLoKtuz8kLd6rDsjrRZXFPkNQLfklua9rpBw/SyJGIvjavKZd9QPNDuOc1WfjNlmdsw4
tU/aGYavnvjlyGkn0zV7s7ITxIvR9QiYDEtniav/7OmglnNbuGE6iqTNnnFS1Mtx2nz7yDa6f9cy
Ky9TcpQMZwXnqY8pxXxq78oE25tTgwe+s8r4nldr+UNJB5HnoIx9oBPm6js44O/VtVjEQI80l8m3
cWXVQw2DMWQWYxa2BayvsM0EylDsQQYg/FiqfL0VnHt3V6a2+Vi1KgPSafR8bXg0rB8jV+kp1Y3/
BvZvuw7aC2hDRpq92rLZSJfYFY6PI1sfwSKt4uBZRFCcapqRwtSiWYue5bW4xzA4VhXYtPCKcfj6
BsEBKOvgLg02ZV6pbToEKAG/3uCgbc9oqWDEOU4h3rJpXqAhRzZKX8N15zv2AX7DHLqAG5tawjBM
OyMiRU7Jup8UKwMG1RovvlQMDOfBjUShF+MIcOx0rUd5oG7mT2xBtfJiG6W/c5HCC5ohm/ANFN/S
dJ7m+7cFjpPJYcn98pmmJlZXKyyMYz8mc/PhB6YTVDqGjT2UEOQDQG344qateeANEmH7kGztr4hf
/ovXMpcXF47q27ZmYu7TpGzfUh8pP5qKU3kIS8xqKIhoDrfeoZBIM9gZ3fpQU/Zos4Xnvd8wVtQh
w5gJyHMKP3RzFVrzdZ0b8+mSKQ1HSOTlA6RmoB+KISN3c1T5eGitmotOK0z+QqSYpMmhNas46TmB
bZSGG0RxArlYfy7bFH7HMSzDVbOtBR7H1JAg+jhl9g+aiUUfeePjG8EYS3irC4YwU8SyJ6YfFr0n
d3vQRPU1b4SAY1RdPcPBZfhiMR1JbsmIp9ehb77M0Wkz4Gcv1TCfsX/Yiy5cg2yxRcdN4C7c3B0p
7dzeEFaue+8GX/njZfiOd/smpuW4KJAdiMQJrrhejF8+EIxrfKfqOjlzsSE/AE41/OfgF/qw7o2a
EIMk0w+y5FvdzUXBnu2O3GVMP+TlgbAE7WACz5KnMiFT3lc8FL+dnuqtKy1GdzoPv5aHnDcaS3R0
0xeGOeT83KbwxBodbchdnVGIJFkoZXqNmIyS9EKMAxEdW+ol7wnCZu8uJOL3OfE59qofxctCL9Ca
H6N/pQmSKiHwZZXsZjrurm89JFi+yKVC/ZGVSMhZMWT2UKERYlfUDfIRc/nVD7nste62iDyX/pJc
pU9ws7GuKzQW1U0pivGJJUhz63hhZf3ejqI5uRRE22E0oepLOqbu0dJ8Gp5zRP2q3gi9TnCoBYfb
oSXKmkOyOf9SF7luDvCgaTY4u0r/pQbpsPRbwSn0OayZVlCqFT4482KYToleeNmLhvJ4a8pdTzdz
LMWvhKJdvZ4EW8MRiT88PakGNqY9RM11e6B4ZLFrvGdIjgrJ/oIkVLYet3IYH+BPDk1JzpGsdoMR
1EoOZ0HlyruVxXa+d6xif8BS1PURov5QnJLSGnKup5D+8DsI3g6eJjs56GwsPtFpowZagyjOEe7s
VX/xM3yCJ8lMeyXpBnlOvdeQe+diAspYki29SZK1ZdiKsdh7ETG3c59j2cG2HDLMF8nz+tHVWfmd
DS3cx6KUe/WE8WA7ndTa8vm0TCp9DiOJ4WJhuTzWO8c7QTwQR0jKMEUs63yS1yIn84/0YjDTI6vU
PldrlfLzhGt6vwnOL7ZL1jn7Gme94WjOPb9xcPok4Cry9QN4XelgL7XsX8cAj/Nuj/W2IRAOkdG7
LrBdVgylqNNcjs2z0xlCuny21eQAUXFsjomhHN4Hyz6oPjFL80d7SzTEB2r5im2Zug55L8l0vec0
/SXKqORNtHP2jEyNwh6FWaubEUZ78gx+0TR4SKt+oVWFqjHVeRWfdy3YbYLSFBUFxWthBpba1zWT
02syJKnBRWjmH4N3a95JJdOfGLgd8o7SsN1rimV+2D0cvm5ga2VWTAGUZDgR3rZXlXcRE0zIrdWd
gdaHnvi+ubaXGqWxXTBLcoBETpe3LdcbnOWF9ApiLzVeYLE2fFfuog1vs217L9ewPU48C2lXaZ1k
h9HSVN6smYTbN1LHhm+oLktE0Gftuva1g3D5Zh8cH/oSyeASVUGW3KA8JZirwqqP0xlxfOuICd7B
lrAJDCuM5omQJcKgt+Kr1gpn4RDt8AkJL8u7RJUTu1Z2CHl3OX2XJ6rwWq7X6HJ1LxoYnLxFlNzD
3Qo2hXdgVmKLCMxFXBQwPHscYza3XVXM1B4DtrXrmcumAh3B1uw4FC4Xz1aX8QuCCvP1CFVaNEA5
jAlXtBSBH6Z6nb+mkxC0G9UqH00y1j9sOePLRMUIHIG8Do9SYFKiZwwn1UkOrWhRiDPydaVt+SzB
Q25HN2a1P8FWdc9PcRs30eNyovC+ryUGR9ZqR34QWnB9miQLAB9YztPONR6rQxuy38tMRdc1pc/2
uyzz6BAvoyhlT6SiL4jvBmSeMUlfkiSzS88gqfnhmWgLjMWmtDhameI1hVTrh0ytaX3eBz3oG0kw
SPE+DAMquFpY8m5Emmw9ci7rjyYC9TjkZIJ7VJ3DBvNis8XuYflOmw68g93vCS9t3UX8VKgFV+AW
7ZYnU+fXvADgsVDDq043zX6/OgRmdI1MBTp3hHkOHeZpA+3ZnPvH2gaB8C+aVk/oqpprk9s96Rd8
5CfCTBkskBk8OkwxFdOpFLmX0DzRLZxlbGvMMAtCfqTAz9uOSk1/QVYwswNSc9bhrVhYCXq9KuS7
yOpp7kTpsru2crHt8jkrvnJADLA6S8bkCvZESXOwuSuLM051dVfHWLadCln6G5ABQWqltygK9oYe
lJ9QQKUF5fTKN/uQ9kIRrntJdiIOMLPIPjG3kFzeC8uwiLNiPIy0aOwJTrrLS7ESpnFr5EFCSDOo
2OUYZv+OYVncIKMpIZnOJsQh4L5YVt6vTDT7bYGjStw2TvgVu9ogHAJ2evVNnCHP7sKuND1hc2rV
z9UW78vF5PTQWDaFbgDrghu2LjWgDejNoBF3VvKzxQSzxXSGAmMOaQSyhZlt3NWQJ1l9ytYlfycL
gOAzzH+wHZRP02c0SMN4rLOlae/4iKTGLqXTfj8VZByvpwzXVieLAXa0FNzJl9TobDtyG9MfiF/T
6YmyXOuzmHb1XqcehBK6CPZEdrRSveIwhetIu8srVC4BpMGWInCJVUtzgxq7WLscYOl8BnSVVAcF
3jSFe3uBXbwgCNDDe9YlvKsuxm0I+kGONtq5tULiospNV6LrAF6FgARoPwhGU3qEbZhX2hI8HwO7
oQ/D4PaDFcoDnCMsb1BaLuT7aPJN9RPSgnAsYYHjUgeAcqe9go+aSQ30WjkoqwQ4Ra1CN+abuV/8
NLpOzXWEZA/jzDB701i8fRUnUpxKBgyho6SFjBzvHuNc+GQGvesu7U8jhmrBITS3X0Vlmwy1pC7p
0CE/pxJnWu3Q/4HfkQ0KMqR0diO0zm8ooUuUbGXlmk7trPglF3iJdTlypMypSZQUr83iW3AacEer
O0Kcd5jrkwD3EVo7HW1djOa4QmpIOqjTMVIyY7gHB1vbIpBEx2Q25wn2JDex8AJ/BrynsvNMxrns
C0ygxC4Wyxh7zCv6rC8W655I5DtkplBd/FaMVRN6g6G+06sqEVK2NEuNyxD2VE8UB/o3SzbcJQLr
MnZjrOIdjgcU2MWqUaQg9Tf/vYycPut5UR8mzsl8V4wuJHCaIx7jlwW8bC5jLLQXSOB9S10Iqnd0
zyvwSk17K1ggz3gjWdFrNAQnDGLkNcJVnP/KRIDaZYSKLetLRwsEuBFW3+Z+gFocgzjynuwB17we
mmXAhBv40QPdq3JC2SWTg9CJDX1rdPWnIpG0t0Ru/CtHEgnevnX+w8KfA8F4W6I/17IFsJW5sr7O
1tLlfWOK4skXWViA+anpzo+pgbZz5PK1XBkKTscEXvO+IUSprxRy6Ttd5PPWL17S21zBlK7fR7EV
h8HzeeodU/yLg7GwgvxVQ/gytIPlt5LbnSLFptrXDsjmBstBT+LRGV6uNzCbJ795PZTjYdgkGvIq
21l9FTAeth7MUG17p8c2eYtLrteeADJcz/mMQJoqt3PTkaXChC2+ArjYnKInMG5ebRdr5wW2XSuH
A5Zn+XPA7PYPngg4NGovLSLFcajPCICn2ydRm83v6zlO5li0W/XbgydBnmiUE3pqlKidGcUgDnsr
gLmNSAiSuMBnfEksEE/2mSUx/2UVwzJOhbh4FmAwwIAjGcLvQIeLg9ZWSTiXwCCmd0DF3nVSQmmJ
hPgZGy1dEhyMxpZvMIxs/tRZIAi6yLaGH4Tzpr7b53J7XmzFv8G4rZoOA1qFsQN0a+JNRObeb4QD
bNcNaq+2n6Z0+pWlY7rjJh4ALFjd2C+53Ad2taVQWl41tNixAVO//Jn3fBfHESXaCCh0KT78Mrkf
thZr0iPzJJWAYeYWMMy0a391mYBDuLSMpeqIK53qbWPr50QT8CSwkC6hiaUwtoN009QWJ1+T3WOq
BbLORbGi7uBHNPyZEC/AL9clPLoXiNE/NyQc/bTC8BG91LhMB6im7HgIWYH5QFA/68+NItfvQLNJ
nLnnTh1Qnk0CwKJVD3tNS7yM2kmAQrXLwSfgie+nVDnykUoHlqBqhdu6YljrtRM4Zpaj9in5o6oK
jYUbLpwn3BjQgIsBImcsr3Hv5sXsXzGMwoaeoZL6kniZbCgOfHKlwNA0HQbhNO5mZ0HPjrCz6Aq6
I+jWoNb/qmZVIM3dO/uZLEw9TGpgv+Zxpe8+DMN3i7IZYDVcod9UNpSxpwuLbwGx5nnHywTjrVPZ
hK5gkbE+n4I712jShi4bWH6vA5odTKBilvMYfMbODkHMLzqs20toBuAuRhoxoqtWuBU1EGh7gAFT
xXo4fcvXpkbYaley1T/juAZOIXyy/5BJuf5Rcl8lRpiGWvculuPSRbj4PcPWq/hCLR2v0RbYPyRu
xQvHBvrt5Qr13gQMZUXvnwK7bXlRYWRIpdXeUdjpNl2KZhRR92Vo3hRaRNdx4A4/ssys/ABpSy2O
Slaow2F9bECtkKifAOiECUX2JlwPVmbRzwS96HBTtBGTAiKfi2+aV8uTzXP3ox3l6O5UmJod3ORe
ky5VFZN3g+bNckQfjjQS3+7rYTCqXa9HcAefA7D+2xaRkMsN/CXrZziWXbzmwDvKvgwxS4+YCJR3
zZZsr+OexF/wm1xeMYpbj6dlWQAbWxC497WJK4NusYJ1MKRbo+mMXcj7PHtLD1E1Ul5ALvOCrDAK
rrVMFn2F41eetnLmSVflFAe4xx0GYixdk7SfcU4/xwxXNWacNyCS0MQRODyl2Qp4VLDlJau0DTfA
NsovEbUyuD6HtvkIKakaOgbgHcGkIN+u3QyktJ+G1GDN6ATg/Twj/q4TOixZz5uknY5hK/zcazvB
/CyHvO5x0oUKV6xtx+ahBHH4B3Y28W2FVZvt93Cpo3kYm2tG512gTEvV/owtAGhIbYN9MEwsGl7U
1T73Uwuf3H4cdfFGyhWcxYbAiAvrkizZneLFdsMBY9Bu1xjcPQfNojrSYamnMzh4D6pzj/LXHvzw
BnHuisgzmOqKA+UEcQJG2xLFANjzP3Tf/V1QLn5OI87R+3TNdmxLTIFvZ5S/7obENTdXQU3JVRVS
ZkEHVRZprYBZl7NBzfKj9R6dbCFjfpK0UPNhLpV4Roxs8ljWsvxiwKAOnVVV/YzZ5fmbGvZkOC5j
Dem1SXL8SB+QUN5XxC1oDPeSAgjwAdeFRtdI+gKH93jgG71ojs12SZRcwvYdhax457bBZVjTRDJs
+gbs1QBrtisgI9Fi2LXArhhHgV6rDqnsuUwX+GWM6pLuSoZftHDEdJuDNOuonGcTeJjczB2m11ff
YVgjf0NJUr2Uk69Nb6fG37BVZm0na5JcTy5s5e1eQTvv7GyHqynk/G2OgJHuOHwe1YnBondAfe/Q
lpSFJN8imhV+JIC4cSUIM+IuqRva9gGE/xvcgYg4YQxtJQc7BcVPoG7ZM7RSE8JVMkBTcs3aMzT0
9htRvr7XPhlBrY15eg2Vv1jBK2lshHFux7sMLNbW5W4cnpI8w32urTPiuGwL/cGg/JOdchqnIYKc
MRzWTBGjJSlKqC80uAyl47SM27Fy1LzHaYH6VUscFR3cFvUbJhiTXwIL4NcGPQPvwVTQj3LMxaPZ
UDX0cVcFWHF4vJxt1ED4+CAXe3QVM0g8dPN0My02YacsNclNg9OuOsIwpYSQydV0uRrNFOe+QoLC
3Mmhwm1jDMnuynKz9RE+Bai30ANjljmvB35qdc7WnmuVXUfA9GAVVmXPAnwY6Sz3KFer2e0NIHa1
LUDPqhKXM45YVBgMur4Wx08ARdyK+1qvLUoiEvPPGUqMn2sJ49d+zKYMdcAGb4uWDTipLZzje5Bu
pu7alerHfY5DdsDOmGv4eQQE/pWtDeW5yqaUoXHg8X0ryJ72Y6jW4rAlQHxQQWRW9PXqy/d1gpr7
liODKe805CX3IQlt1qt2zh5dvLSWOHwIv4XKdH2lyAe5SEny7IWgeIYDYElA5s7TeAOqo+E9PMiS
L7WCpUjfZCJ/nNDhLM80n+PnDKlDc72Wi31rhoE9Vao5DUym5sonGbCxudI5UIEyjCVEBm17v7Vh
/wBh0cgrjEnNt2iC1GcyMZwMiFnFd4xzkj/FPZoW9aTboBJFC/Aocf8grqqJQG4pKgdAOnU5oc0c
C368NNkwxJdjc8DBylpAN7tVVyskXsCO5AQWKCAcfrrTU8FxWJa7eAgl9d8U7uqXAi9ngIJry/+s
DUele/HOu9uKdsV8dD6vj5gBkChdhafAyQv8XzogQauDFTFEX3FqJ7SgNZZ5h7yLEgOys4MaEC/2
udgpkH0A++R75WuUDbmmwy8oIuD+tMH0U3Q1zDrae9C6gPyapQQ8hZAbkh4CVijB8T0lmGeCukQ/
8oXNabdWsBBD8Hu1seO6qO21bBEcdmtBa5hjmDBBhxa4wpiurKJEbEgamh/QkIzyFBL01UdYjuKy
yTVn8dwCcn/DnHRxAY0JupXgQDhdBWBWttvMiHEyrjMGZRGr57IDCt4AAUpwd+B6qNhyLOMCi0FU
etl0GuIIEeQxbWybqq5QeyAnV2xz8jADeUaorRynTf6WXGv+4Fmz06vdDCOqHKRZFgGn6JCP+XGa
fALZiWMQc+oHO4CUDn1lCmXflFUqnlG1SJZ0ghZQNLUesk341OU8+ZJvvmzgRp+PEEZ1bK5wDh5r
lS3ipWCVcrRL4TE6wUc0qOK1RPDu8qCWxKcAX3DplFcmrTBVhXDNHJX1kibJe8rnfb4Wflf15fvm
Yb3lcK6wX6rMRdRXSROb9Xe9DjnqGZB++IxNtphh6OyakB2tfdzT7Ir4Md/vVQkIHXyBdMsfGFm7
uPYgkdF8nbSsGP1D21gjOxpWs9OtWRCN+z4ifmX7RHBOtj+kzUqr3sN43n8F2aLT19lVoxM9bas5
+7YmkqTVaZrAEF7RzDlQyaaITfxM/HqR8aCG4z8WiGbHMz5Gg0tklyjugCsR4QQfRZmk2NxZDev8
FoHVdINBfqNLA+endTECqAv4FNg9jHg6GJswtiZXjkSbfJlJvqLSsLsk9buhTgeIm7dUYUsRqC2a
n5UqqvqnrZqx3s4DWFLGu9JXQhqgTkM5f8gGt8xni3aVHn3ji+HWD8O0PZKgYI7dY+wNlt+89rS+
9RrDGuehcG6+S9GVl+cGCRv7cQJwHp8rid9/7dIGRAEs/BHj98kG5qfXiqeJ/06Dx7UBpiS0Vxrr
G39alY3tGaC4ddfZ5nBl8jQHkQJIbdc3IbEwda5MPborM+/IEtmWadhxVVojHiCD4uq07rVdb3RM
ozg6Mhfjd3h8UIXe1jT6CMyzTK80BCaxEwvq10ORhLkGkwGApQ+kXJqPETvmBRaBwt+ZQNDCxBT3
63HzG/wR4Pccvlnm+W/tY6avKxwC48GXI/2WML2mHUvc/gbTTZaffNoiWX6dC9thjH6qDwLXX3mE
qdm4fmdmpDUarKL1V0zii3rcG4FeM2yXT0uUIIcUKudwhhwze8PoEXAlAsQeIHUL7K3DOE3yBB6V
TYexEfF7UPX6grno7DU0LK3RJZnhaBQfFlAIqBE7rjBx24FA4fcL+u2nBjYekDCXZiYdrSj/vhlm
st4RvbluljJ8zHkMOwpZl6aHzObqV4Ap+cduR3+TyBru8y2wumtrYHiPzqw6JgX2BZIux+tCCAWl
wBbvQAK56bgyV96u2D17F3ML8kYGqq9sOezj3VQjKXMvN9APrJBy7hzPJTICQIuDlwfw83OOmX+V
q6wBmdaTWw5qgrD9EDl43xeBE/E1TbQBGA1LU4RDkJoHsBoFpAdTVkHqwfF0XweFuZLDuDr9AbVR
80LHORtPbKF1/bIi9ftdIdUSMp3Sk892dWMAAEMM+uhA5qUnux+PmrX+YvIw1jBpZiNgtd0jCvfO
bNl+Remk5muX7vxqh4R5vScYYkJGxEBwfbd6AX4BWzuwNfCeBN6z5ym/w/A6mXppqWDAmw1CfHHx
L6A9Fa3LTpFaf1cMd9PRhxkqDoF+Hbfx2CL+1kYargBlsfJgGjPzW2iokhnxhsM8HQca7VuESMAc
0TuGn3OV8V8wsm+aDgWmuSmYLLNTUGr4rrcdIuWGc/G0yXIAcZk3K9SKIW66q7Zc36JfQs8KG/72
/jLYwPpsrvjWQ98TULMkGbjezS1IPpAzwlc7pI4aXFZuKpNO0bh94RztcJeOK0xLa1Q6+lD64J82
UTiJR+JJ2nGcQLFjup5w4mUtZFbMGRznbSuDOWeAMd9B60P34EY4U/dYlgCrRRzkLfMosY4OQzsO
h9slmZDEQX0bVVG+pq2nU4djH+smN2HL7xKp9dCl4IE+GDPVhB7PQMi9Gg0+uQQW5d8CANn7GjhS
gsXTmmdiWLxo/Uh+vzJdPcFdB36v84rju0vi2IQjH0J4GiDF/VIMSs23GiQGP9LSCfjBQ2ywHSmh
rAHHg/Li1Giw4RfEACC+I5ZJIJcZUacsn8V8srJsAfmg9QPkunnX25DZ7wtu3bKfMljhvGOsYokH
lULrBpSN1+yY8naANXpdmFtpoCP7yERshmMsk+ZHvZqm6JVavDtiW8M/QczLjFR3b9ryWqXrdu88
Qq56uCEBU2/mebnJ1wSANc/Qw51QGuRfFXH6N05PkFrjkF6wIeDYKRpPnzW9FsiCfhNCxysBCQV8
accElCzkQOOb5pq8Zv7/cXZmy3ErWZb9lbT7jmzAMbdV1gMQiAiS4iwO0guM5KUwz47x63tBlV0t
hsIYrUpLS7s3JREC4HA/fnzvtSEUX2isdLdLoVlUAp+LMn/TkaEOB63kAD5SqeYOuUdlLueecoqu
a52222KKzbMhPXmVQ7U9tF+IRwDAodO5YI8OlO9sTxqrWErHr2s6znbO2zcrDa1ThpZjmvXIT4CR
n7i13/R460V/yj9xYdI/XH/9F7l9H2msQSF4aoOQ4QuAydV9ZXfhruDo/s8vRWgy4lwAUqwnhyYt
IDxaPme17dcaegLdSeQusrJ+F2tNeQJXcqiiXcHJa0L7zzgIaHQHirx4rEs+uMHxw7QuvSwkJyGz
i2THt5Ah2Cxf/3h8rPpgEqkhnCEEPHhz2VwvIcoRF9nALM7yZZjOHGbQE8/v2E0hYMbGKsCg/jY+
cLMXdjalro9ij7jZEcG3HuJNzgeT0960NU+oJ48MDY0Ud0EFjzmCA/qPQ0MgCO86PP6+azWviaFm
m2hEUp701Sk0yJHvi1QzbEAkt5FjZR6IQnHFNXWjJK5P66O9RwdgX+bUuyee3+86TUaFizWPAWHB
VTi05tZma7It5DUpko59ldXiMjNjtF2CXDq7oxkwNM7gp3kc3jXWpD1yltgHAn3M/Z+PF9dE522w
YuKiOdCvs7GzsWbwZLsWubyfuMhUUGjp+qmkkiO3TIwHA9OhcUcCtH5wJZHGTpISeuqjwFE3Ukto
BioxRgbWmC2kXsHrFGbs6QiHfVOptE2L2slbxvoU3PP30aSDiuSMCzEuM6l78EkqsdZxlML2Xomz
6ZXzFA47QXI3z9jvklMh1L9PpVxstSXqK6Ge2/84dNO000KOPWiG2ZpzWdvlS11bCmdUTKK4LYxN
Fg3jCWPPoW1Ew0BHphbGNpD4POmDa9powWm3LTxqoq42jlrMHGYu3a5w63qjRNaMeGr87jRTuv18
NB29sA3uDCYMKbmHCn5kJpPRZJwzSRodONwRv6P+m7cTYYSeNLImEFqDxrTsTwUCH32na77I6rq1
8QR9fMyl0RAeVEyuH+pL8ZgrRXk36zlt1nEai+vP7/L3OQJjL3DkdYVkxTpkyiR6l9ZD43KtMnJ2
6jg3O23hYOHzqxy7I5PdLmYjpgjtkEnAlj2kxWozx05mi4+44iCrL4uLGcX8iTXq2Bg1BV4wLKb2
ejj08eEtmds1NpQm30XHdTXJObwylLT+pkFpUIOlNMLRo0xIzeDzWzz2IIHkkZBG2iLm2vUR/LLi
K6lKb7Rn17uMoviei8gsNrkL6X/z+XUODbTr94DV0sbiaXKuqB8sH52iEZMwWy7mAsyDgGL56lKp
bTitwFCJoIFMmt78u0UeeTXqTnziNn9fLRHSoP4HD2NATz3Mhu8HwXEth81+CE/bN+C6e6mwCaMb
U3cfqvIUpu/YyAHsuBJbdXr6hxTOGDRHOmNs9Z1eHbaExNyGZAltyE5zTqxjp6508GDhjC7J3PBg
I6syg7zQyIZIs3BTNLVx9vk7PHqpNb9VALMASXbwgdPqCqM2NFzfUBLjFXwFUel6Uj/WSXwqxPzY
+8JC8d+XOlipqEGsnkMo1x9iF6S1IGs0orcWEAJuItUkd/LzWzucNQU6wdXajbd75UCbB9dj+wPw
rc/6YFRGbYcfaUKqNbvbTKAi1PVp2NoR7R19zrsTM9nhQ/15ZZewdsYK38WhmzEVPS5HIfrA6TLn
R1FV7lnGcTAMfa068Q0euxRYRZW5GSShaRzMMRaM/nyWao+NdnB+ILY3fIwSX+XQKqc2Eofvb70r
DGQrRRiaMCvvx2klz/tWJBH6VkWfLjmN0R7bYmw9Di6su9zJT/nkDmdPLrfadeHHoGaEinlwZ5rs
yUhx3CGYlAT1pOXszJ92CtwVHKhWFX8PTvZOvLnDKW29KNMJVZuxbgXdgzo1MYdG2hWaTYcD0C9C
MbP9AKDkocU9vKXiMAMaQNV53DfOSzxP4/0fD1lKGt4iGyidez748IeIA7Z2LmRQzK3cyWxbVXd6
EfU3ReyYAcewFRKS6tRNHxlDePX5RNZcVhsf1ccXO/TU+1xEBhkwgOfQEsriU79aP6I2QVzw+S0e
GUXrogF1aqXkMpg+Xsxt3XDICPoK2CxmW1kY6W2rdckFyVhaYLUiPPFItaMXNMG4AiYkAuQQZZ4n
dqRGWS2Rp7fiStDN5TDGseRrLit33wzj+NWOl+w8lZ24Zf+XP9Er1oMG+27jFS4naKFbJDSs8HAE
YRXqnkbw+Kni+ejfErHaihZEbno42id28IRNpyiVVdx6jXQWjwFi7ttc6fatZeZvn7+Gn3XOrway
daTbGGCwp6NpUH+r7DrEi+089UGMZ+zGDif7Qbr9cD9WvX6VCBrCIgqTr25HpzdvpvKC1NVkg8sp
vMiSvNsPdjW62//JX4qNqAFGEqTMIVCmpR0q1uijIKut4sJKZ3ezLFbnDUM4BM5Mt8vgaN6vOmle
dupSB2ZeofnmzQdND6qddNbqRL14bBoiqMah9IYoYRwye1D7R2ElOJFexri4QGQut7V0hmv2WK9Z
HdkcSU3NiVno2DXhQlAOA5dlATtYuYB0qosyRjLARpQikBHDenIl7dt0dobM46yPHkQRGvaJxeTo
dUkZWNmWqBiswymXQ/MlpjdH1rlucdwgyxU42xNbyuFLjLdWUeNtmjXGifd+9LqgENeJD7f34Wuv
ZDwlvVnKQBW5vrfTzLJQHsv0IsQavhmqWeMMBefZialofYyHnwCfHKsaIG1wjwechhEFcC90bCEg
NoeHJJm6jegt8+HzQX1kSSEWCG85HzZ0yUPYAHLT3JTu0jG5VWnggic6w0OA5qKLfuBtHthNTsKn
WtBBtPb6ifruyKMVvEjyPg0Ndd9hKULpMLeZFjOU8tS6SC3U9Q6JTjuK1i6QpUDt13SnyDpHJjMu
Sg+GQmG1uh+MXxY3ALUuy1jfc+QMXoUFe6YHn9lh4tvmOPz5NwoTSazrNiHN6uGy6XQrqNlyZGDk
s3LRWV17GyP+rbYqRsrEV3MZbWfXnm8+f7PHni0NAao8HqwgufnjUiaxV5gI7mWg9IvczZVW7KVZ
qwFWXOdGIGnHTdjOt/+Dixp0PNbworWc/njRuugSNTdZrK0sri4mnOXYLEzlLarraQfj54oc3jk7
8aUcqRCoDBjCgucoIPd/vOgcpraVG6EMqrDo6Izr/b0klzNHxt7iV/38Do/U7SRiYHBm1K4RQofl
iBRi6IeRGmzGgKzjNTs3x0W/Vzj29CQWb1+H7b2V2dI+f37l36i7LIqcm5I1uxK21oTcj/eplgtL
/+wiP6J5wKHG3Fw1nFn+wKMxb+NaJ0hVr1vzzanDmuxcrRsWlKi1e56TE/7AEc54UYuxjDeIoLAU
fP63O/ZVsVzzYdHaZF9x8BLMYVQVZm4WRwdtG5ZUhP5IIC45SFe9MBr+FAH482HQ8aZvS5lGyMbH
hzHHjmY3DbuYGD2lZ0oQB4Ju5i4RUvz5ArDShNGWktOmkjnz8VIcMOldjHksCJGh76iCH0u+8h0T
DNsZtzWvXVFkwZ8/TqJzAeSB3ie45+BDwv9WWei8+8AsKtoHWtlfj0k5B26IDsUgKe7u8+sdmy2A
8TmuTpHnkCH18R6dUl2wQpVDMBihup/iXsNo38kHrJIatOoivLKqKjvVSjg2aMCfEgADG3PFK368
6pDE7hhhOwjK3tR9y20QouWJskFHqKzcAv3EmzwyU+ioiA2d90mIyOH1aocZmFPqMTDnKLuszaR9
aoUx72ixZd8+f6BHL4XLEXIbqWrkIn28Nc0GYWNHXMpuivksmi2MikqPNjypmvJEqOWRx2jgxmb9
5mxw5f99vFZZGfhTsFIEWROF29Ia3wsjEXsy1hAwo+E+MTaP3BrITUjAnAjDnDjcJHHk3nNOrI5B
x3wVoAHMdiggDMTn1inS+E/y20EVtJZARKeBAaO3fDDnWTEiMyuZpkCm8bw3degGTaL0t2QWQ8gd
ZcdmVC1vkr5Tz7sa943Zucu1OvbR9wRk9ivubwMSgt7uhzXDxdbN8D4K2/7KYQt4zlBI9yUWl30U
ZfIUvuwnRu63v/y6ZaUFaf4ejLVoOtmbKOUCs+0qxEQhNi1TTOYF2XblU4XmgwJ2nqJn9p3tWdUk
cEkQFSnvUq8SLCOAA7rN58PyyPLF+QDnahpljs2J18ehoioV8NSWoaJZUkGWVDgrnWmA2oL2C5RF
tl8Ut8OEWekn9nTHrkynnrY2pxOQjA5nGLOPazuOpiBV7b/JqDCo1Rd5hfPcDDQp8ierGxJv7Nz+
RJF5ZLhyKLJmE3PmhrpTfLzlCG9YKWttCqCnxwjRrMwjXFAPzIaYvM+f7pFZFC73eh064/BPDu5R
l3mksxJOsB3CVcZvjMUOTc/k1f2EDHJe2r3diOHEDR75/NdJhtQKagJVHHbUZ83s26zCAF/PEFBU
tLOousF67JdxKpkBQIDU/uc3+tszZTRTW5rrSQXNvcPNCVKBSpucfubrS7qrTovLnaiMcYfo8tQZ
4rFLMWDBGVPAOL9l2NVpPlipDS9jlWee48xLvGxwUCTR3z5Rwxy7FCQqnTfoWCZFxceRUmr1nDqW
MgdYhunXF63R+yYilxhB05ifGCvrCv5hcgAySJsSrjrtViS6B1+ig4sGzSx4hQRh9RVa7dTCIVcB
avnjV8Xcw15H8Pz4z8FNaRFwhKjR5yAf4CUYOMKwxxAQHLlV8/L5pX4b/is30aIqZsZm1/GTffnL
0Y6VuaAK1vY5ptZmL/uuDjq8lxvZK/OWRvj8pGr5+Kdr+npReukrcpZNwGF+VgxDDyurhkgJoRt8
DZHclTMdPFsio/38/o6MDy6lk1Ww3hxl0sfxYeGK09A3rnooSbyt2XFiD58O8bxr/9fp3P96m/53
9F7d/NdA6P7zP/j3t6qeQYDF8uBf//O6fi/vZfv+Li9f6v9Y/+h//9aPf/A/L5O3tuqqH/Lwd334
Q/z8f19/8yJfPvwLZgkcRLf9ezvfvXd4fH5egL/p+jv/f3/xH+8/f8rXuX7/119vVV/K9adFSVX+
9e9fOvv7X3+x+vzy1Nef/+9fvHop+HMPWfuSlO+//Yn3l07+6y9D/ee6u6DnTtsAWtw68Yzv668I
8U+AqjSJOQcA507gyl//KKtWxv/6yxT/5Fe0NTbd4hdpYP71j67q118yjH8yaa7ndGg/6OPz8/7v
nX94R//vnf0DytBNlZSy408ffNImG0N6NSwyhCyD/jr41Aoa75yutOMmzYR7HkGLPM+i7lSP+uhV
2I1wi2v+pXmw07KT2imSehk3SpjQdVLTTO4nWcyvvzz2f9/crzdzuF6vx9A8UU68hcXichgITAhv
TbGJCBFTAGb8WK04yoyUvdvaybndl92DUnbLRZVp6al5+DdI7npt1G6oZVRHZX93UNAWsDTwrFbI
/CNTc17zpnLwrEvEz62nDGWxBHJO6ChAYcmnje240aPUWu1bKYom3MQF8DsYV3o++ZFiiyjAkl+V
V5ytxOap5sPvb8NQaeBwlEaRx5tf54xf5jxEmQO5rQTXa/jY7gQlXXRmqfgb/vC4nnJb5ZCAxQLD
OZc5GFtpJ5xxxCGK+S2THZAg6shrIYtmvHSqER8gNcawpM8x1h55Cor7203S50XHQkAL/yU+6WAz
00uZao2eOhu7A3GwxLN9oTey/cOZnM8ZFxiVIS04PuTDhDTWqJRjl0bbAOTrvg2W0yAf1etHQo2f
Px/bhxUTV2ISZ08vUOitoqCPL82c3bpAmKhtEsB5sVdaIbaXIbQ3II2Uizwzq/nEKnzkCXKgRKcV
cCjJBebB0pH0vdELlKEbczacfUyGqz9ZlfKHrcZ1QiSzx6aocBCKagffDW5yo8U3pMPKhLiCpSbb
5naibtIp0c+E2jzq1Zz/YZ/x8JoHA7NAtzsbC9cUThMCLwmXjZY1byilrSfpZLrnRLZ9Qut0WGig
w2GKpfnDybLKnH5QO9nRhJUCqTjXVMLzIV3kDZjy6TxTKgN+WDpm0qNQHMPgT8fNuoszaf3RAKQk
PbhXyIPohhsp4Kw0+R02gvglJ7/EY/q10TpbRXbirGUdiL8WiewcCepcqzf2TIAjWNR+nV3ouKAH
akxzgyOuvtbcGjR5D3YKzoiTKmef3x3HqgcPljYxlvIVAE0/ATHZodJYq5p6xnI3bDorzIdd3y1p
eV5joF2eUuRd8S7iJsNtBP6Cil/m6MtFOC8A4gh32QM1a7SXCRAKgvcoy4aWPTn453NwxrOyrdul
sf0K31WxRl6zU6DtbwAMbs3QCsqhKocd05o2oh/rJn3f93aFWaNNYBMIp09av+D4ub5uOxBlF/MA
7eV8XGJdfyILkHQHGeV+t+hnbh67WqAXwEe9BiO92FOUTvLVSMDjeLMzj9WXsbIaa89hnqudp1ao
vGnIBdRNkij1M4AZ2zyDRLlIzzVjpPUmLV+yHGSFbQBvNoidecgY7UPrDrsErPHihZAqM0/P6z67
TFW37zzdAboHscdMb8hBGAcQEMIZbpQMNsi2EXb9XM+ZomzTBS7iFmCg4XwxbEBPXt6qTu1rrRpf
rwBsfQ8XsXsMgf3YWCGjDLadXUKXe2N2NCYjqEUk5tgPw67h0dajyMbOaxfbeJAq6Ey8tvPCI5Rl
uniVDMXqmHNE5C+UcI/zVJTRzs0zAbS2ymustwKTwgWOIGcvph4uhsHRiAPYwghv3VqO6k6dNfc7
qm3Z1141D411oY5ji0kSd7Gj3QP+07RbozFT5IfzXIjd0hiyxsi9VFUUoJuX435aXFzWQCwHYIS4
W6EmKHgYv4K1mkoPBz5RLiwT0RhUUlpKoGtpzqkfRsOM44uuXM5QQ4AC1tScfw5by0g3PZiQKXDS
UntKgVdmUFEy86LreO9oTBel7r6EaeJ+jWbIjljoCUPGqTk0j06IxcyLqW9df4Knml2ZdQrInKSN
8Cw0WAA9N45zVLuytu7bNsQFHepwty6Y1yk2ihr2JMmCncDu25bmS1t2FEyN4xS4tmu9dp4bKY33
sMRK4RfzMmhbVcmLxBeF2tCISafmcZC68lWIZsq2uq6UkKsgY2CuzgZ8cWBXsKgUdBRTfx02Pxj5
VeJbVT0ont6FIdTgoam9yepbzNIWrJgN7G4+C4TvyXm1mGPsT4OsoYZo2CgVnM6k8/IR6XxWbq/v
7LKKsPCWLT8kU2KAiJ3AiYcBp3nVgZO5V0la4XsohDXb/uRkgOvSfsCkuSwx7KZxDLW/XaWHCm/U
zjwxvBAJYDUP5Rs0r0X1HRsEwQbKIB8DkQfEeRajziEu7y6b90mMZh+aVqngG9WdGieuIZb+uqaw
GjeEGdUGLRS+m68Fx8/RHYtgmmx7a4h7n/WtuZpDd4hhYsgC99qoPitDk147GjD8XZ9M2AUjbOrJ
GSzeccJ3owjngfMW9ZxPV/1GlvscBS1swfsSP4z7PROYzLYEyZkk3q2HGu53PYrhkOqdGoKLHLSS
/opXqFlXQEnCcxvvmsEoSFtSx/ZJM4q2u9Htvu0uEpic94MemfGZWrUiHwlSCIEnrPk6arN1ZlSQ
Z7rIVZh3ZR+nX+qcKm/birkTN02U2N3daFfCaEg5AsNPgFSjY3Qsk6z9OyW/bPqqNEla7vk2yzwY
jc5w3iNrScJtTm0KyrkPYbb1szLFvjKOC2mfVWIPNxVmuy9zWxCnMFl4cdDVRMVuSWz1e+IoRunP
Gud4Z2x0s1tHGQkJ08I6u6OIVh/jxZBFANXC3Lh20abkh+XNOeYp9Rvgw+ndwvb/o6QK0HcmEY/X
RNYl9U2hFs1rqpT1d7PSx1vB6VTnG7hCH9Remo9qi3zKs9HEBDZgHfjEiu3cpbmr/F271fLcjTr4
h5ktYhrU0uzs8yqcEOIyeQ4bhJFApFvVxL0e6VG6h9aUFHu9zusrpbT1TbmkYgFwlI7Dtp074qBF
Frs2zny34xFOAvdW7YT1lwz+4Fc7i5ixkPzianOnxQgiNR4tvFZm8TiqI9Mq0NEl3EmwTR2cGhME
owm/7H10EzyGwm2Vx6jJxA3AE0WH3dHnWOpgJb1DFDXLrWhAmpynyCf2WMP6yOujiq89lE6+r7Ik
bM+6XlovY+ZADwMG1z93Wg7tq0ClK4mMm6er3qiX27xLlNYnU8R24KVYkETqSFeXoFBDeshamYsK
N21avRfwDF90VKIJDKYu7TYNDdluk5tGDrd1wd67y9VejyC+pM6truVN+3VUJTBNrdeHl/XVvuXU
KRRYEjgKNkvu1NOsZEx2s5n1lyPoNAe072TsiBXQOY9Nu+hmtaJhAi3n+Hk2uf+N46RdyfHpqMa+
mNpGbOKsBdYZhWV2syhL025kxwHufsCTz9mhazSs4Da9OUDDifIKiX2sSRaoXFDBgMytIJv18rsU
duhezRC1+k1jsIZ8VQkKURBJDfllOfaaFsQlXu1STfVwb3dl8h7nVp36pWJzqqCDeHmzStftoNVh
7dp1PNEfqQNMC3/knI3MrKXBG9Vb+vk44cPdlIOUZ/Gdr0NnNKddY7sL+UDzjGK0Kqz8SUBYhd0C
zG3YmOG4Ym2yMln8VFIyeziczHirmWON2V0bobPabpXcTG2txz5sIu2li1TMkJqaqBO+2AyIjlhw
vOV5GT5X9HmFl42VqPFvT/rDMmoKSD1ki6CuZF+9KEqJzcREGwBWqhXD7JHOBAWYtLTpuyNyQslb
N2nvILouMYYBHUQMtqFq3EFMA29R13SuN0D46SxnaAy2Csy53ucLac4xxxdz0Go4BWFA99lrwqR4
57A4lyBTwhb6oTPCrWkBh0ElofqSgVwcpk0NcWTrJQ6axW1nLKo8GxRpF3CjMuNb7gwdBlaMn5PX
RQLBWRfO2IHDBTAYWJZeBZaPP3I/ZbLFBAwH+iwsCSXyJxoGZLMkS61ejREW+01SZ7zVTMr4zqYu
VTZjCBvIn0Q7DxtCIepAb5E7boHfDa8pyiVKVqJfgGxbqQWkjxQ9jO6JBfnQiCHX+qRODJRVbRZd
pZwujnsJ+CInOtIAEbIYtXaWlLWghqwzfL4xvKNveWxY8M2KIh72o2XLuzAi2/Ic/oPJCjQa8WM9
6BRl8GDhJigi1q8bIhAN/AVWZO1J00tlAOCfAjhBhvg0LuHw0gLocoJSSxx7YyD7+xEWKVy4Dh5F
7A9M0z8Gs3Tvrbx3QQPVFtaLrm4fB13NHiUKgprZBByoF+NV3Em3M5GsuXZYcPuWxXEBtvDHsSlR
Mkx2X79OVVzdl8kwPHRtvTjU43W9tyvJTbd1Ylp+ZjqwwmwS09PNbLjOZoFby5KcWeUtpsy0wyJa
xxJ+iNY8ddlAoIg5qeV5pVgLwc+9BvpQGWr7EWdOjTF4Bv0S5NrijoGAN4ADgtGreSbtDRUqgyD9
wmjpTPGlwbbZIAUde45aHAB5eF1AtCD8uVwyxaw29LdaMKC4TyGy42hMvJYyji6xVLvRd8wBccQM
JWYItNCy7ksbk/uu1szy0nTC5bmlwkOCDeVK99TOpaATSWqovr7AybFlXD6F5NJSEeFeuuJ1NlBl
UhTA4FxicWvJbv4eL2Vbki6fF/dySNV7IebygRUIYJ4+yvAdXnYDzAlb740bTkvhAUhoFcYaqFUn
lHDjXTKYHjEqAfuNGgSFPiX29DbERXllwBhkz8GLxRlMZmAX4OmNKYCjyeypFWMYlJiHy7MasyMb
ALMSWJgtkhzYYU3iCfSy2cC5b6uI6hh/C3/9qjwDQ8mnE1Kw3i7MkC1DYgBB7rpJeI/KkUUkn/II
qpohmiDR+vqHxv+dgAOdmlfDEsPgWbEOTiYN2RLAJIHJ13QL9mkp3foeG3C9tavQAJPZL4oVIG3T
CZiKpJr44MPHb1EEUQ5aeWNeKpCmys3QjdV92kcKk3O9Yn2NSEHc3eB6LM5DHfW8NzEVPQx1Gr86
8H2n/apAvC6HJY8vmCKLbx05I9VOjpNzn4csYzAoqv67RLzKP0ajvhu7CSeKUVXhIyDIKTsjwKJ4
ctVh1D0Zpho7AGz3X2gr0IpsHZk84J02FYaEbhBsoaRuj+GKowdvUlCBeXbdLCncO8YkBZhh/ChI
8SJCS2ujcxk7AHviuq3gJvK/UaB3gH+hZMJu81TBzhWRj+pWgbrkru13RQEUPi+ATGxGpVXUYFDY
zHqDnRSTB7lZwMtPTBVLtA1CF5BgDGeCs5fEx+NiE6QGsiH0SnRqXzUDaoUHXsH8RuViiI0G5vi6
CnE/ee0gJRgTm7wjT1ALXDRDrbJedWFaesmodeFtX+dQ/UerH78Nult+zdgu5cytaXnVt5rVXNEY
dJliWnA1TBCioKaaKqsOejapKS+ugyor5dJPNIaq5nsC1bKDKAGNm4lScqQ4pKNsfbN3iq+Ag42v
aq8qpudIR7+PswgNipYObKIah7KR/Xnnksg098kLjDGLAy43X16KxWWD5hQOk3pvMtbJRXYl2QYQ
+39gx4/v2Hr18TYcoux7YybDey36qdxCOmBxanMoRbupS4Dr4G01Q49CGTbBKFWImsQcVtfEUQDW
AzU2u15l9HAvQrat0C/ELIrteqfvgCWH2I9TQlg1s6ric4xjarCmV+h+zg4j82Hzpe+JMtJsLEqK
YA9u0gLWITIyy7fh1LSeGOf8iy6N6rnvc/0L1ClyoQq1Xik5yNNehFYoX4Z2kt+GSE0Uz26ZUGDl
pfIOlbZprGRjHKYk0qTqJjPNnAc5R1W5tWQdvlIggGSm3Ad1GCqgObwUhBRy2pYvAvaK7VzZdmbf
K2apPPR23rxAgFhY2/Uk+toX634mDase0l4bWvcTZVTso0ZvwsuizF195w4uP4fygL7FzLbkb9EZ
8TPQmPohtAUgNZknodxHmXDI3ekWrV53UB0JB461yDO2qRSYrQC3SeFE3bGrwY5+hQiQFX5amOYe
y4XRnA9g0SvOvSN5gR66B5CHIJxjCbJ6xKwm4545dYHoxOGh4kei1u9GK2u0IJH5YHhzaTZ3WTYC
R8wNnaCBxsTZ4UXLEi0buzeq1JubiBJUAWB3W8KIcH22bYTZhJKZOFCcKiEKQBnMaNebXX0NUkx8
c6UUoy9qPtYNMzM4XqfvaTDVdFG+9MVcKTuoHD3YcyPWSFkwSkAahHUY7Z5Mo8R5AWRsChAYyFu8
aayMp6GtqtqDL++A39PUWPNG3Uyvp94xm4A21pIHjSuneNMUhXtGKrlrbVpSF/qNjcDjUULRrj1D
DtpLT4WK0Labgdn3NWPzvASxFu0HqBSdJwYl2/YTA88HFOhavsgKkGEFgRH8DhihbON1EClTHZm+
iYBYPzNbYpaCUlfil2bJuEyZMe1dtJ1bKXvArmDuKtdiYBkDIcjeONfgveIyJjVQDxcebT+7ZeHp
rSuTLXvC7jJRtbg4G11wQl7XF6xyMpW160kwyIrfNc24bNsEi0RgRAT3bgpXx6/F6xu2qdEo+cbq
GCsBIganflZpV6XbooxxrE/KSqGcyHGy/FXI2Ps2vJ+dlnaW5VnNSlNv61A4GwF754EveDG3ekfX
JK4g2u1bNlHWtizC1vVas1aBycFAec+0Sn9muzHPTBVyeTOkZZ4jIp2ILu8i69k0ZvupTUX7BvHF
JYHEiF2Y9tNovtM/zilIjIgoeXox9ry1R9H/PdoTyCxK9eabS/rXtSNrHGI4nJwH1q3K9vDVmsVu
GIbqllMO1b4EnFQ/SHjyBO+pjXuT22X2TGcjBC2mxJJSGil1v+lIEmtI31hXfmVyWkL+GqhsMFwT
aCQO+4u3BbgqbsWYg8yuBvzsh1M1mxsB0rPeDk5kvOqpGt53P4l5hR2q5uVChni+TUNt/m7rM2FH
miSsh3lh0Md9Bps1uekSuoWwVOO22ugEiop9IhuFEc00iytSr0tzs4RlygkX3++NWARfBOz8+gcs
hX7YI+amjpgindSooSIi3E/VZSgelCytHuaG0xz4/BKITiuN2O9hM5QbabINxQwibRBMo2nam2lK
6y/V1DGdG+Pgrpw3zhjo/NVQFy0TcQ6dNmF/6Y2cGAaBZincjGbCb1HcuLx1ehuAt9ZaBfwXLcxe
4jwU/RaEmTlvlcREMD/VlvOkFu4U+YpYF3XEcgMXriASgvQtrOt5cRxjnxv0PhhEcfTkKrR34KBU
cKTo6tF064Ci/81pQ6ttcmaDleJSE9lYVnn6LQF4RInZpcCANaKGU68SUFr2TM3Ds1OUWPnU2Syp
wFWaTzhAzJAES+zXBJiFTf1UNVX1jspTu09LR4aBRRoYL3OFxvWiax6YMQecSDaZX5KtpvBSJmgi
ZbrsVcx6RSEALi3azQUbn8AAsfgcEjSV+j1Y4c4HwNJfAmhVwYVkbmMFY7Y2T5TKTPh5HFsSAaga
YXhm0gSm31VUSrRP4HLERPAQt6brZXPj4uVufZoCIVEcBIeBapnSG3dKhUHjrhT7CNS2uzW0obhS
QN9121TRQtcDr+c82Ok48xWDb3P8jv5V56kyF862ssD+BzTvFyoau5+dLfuq8EuscuLvm1Eku/O0
qKtnEtkq+KOhiH+obiTgFAglhoDi5vVXg1NXXhrBPN9DSY60v/AQqm1N8w/u25gj6NMJkr2h9HPe
RlcfVrpqVDypqIrCDQTB7CEZqrYINFFyYtShvLN9mSj2wzBlDas+88O0zXUte+O4eW0jyTwtX4ga
WqiWOzv8ZtMb7Jh3Vb15HWpjCQPZ2DSZmSPd6KYC45efVXhK33Wzl39rkM0zjzWm7c8TyYkMlNJR
cbcEZWrX2IkGsKza2KkBKNVs2jSNa7LJoWNxiZYaerzV9PPeNnpdfjFYmdHvCGX0V8DjmT72cHLM
ujXecj1yGhA8IT1bxXLKp1RNCCMI4QBep1Zt3sGDEm8qbTB6SZOtvMZdxS6JnPDE2WHmlLQ3NLv+
0ZRWobBEzsol0OT/Q92ZJMltbWd4K9oAZPTNNBMJZFbDYi9REwRFUuiBi76Ze+CleB1vY/5Qkh2V
KDgR0siOeMEJ9XgTwG3O/c/fcOkyGk0909DOxJ1amfZ9OHUV3utCLLbnwLY/HAzc2Jk6zNcl/LqI
8W0yAy/8dk5/D8kxGVlJZQGy35U0c2BYGnD28Sy3kClpbLATxSF+5W2b2QfubDbFH9Z37RmFkXUn
mVn1PTHkKGYHpW/AfjnE+im3+T4e3pJGcSyAyyuK3UCJ7yewM9XtZyv+otgV04Tb2lCSetCwfq2g
aZ/IiJt+G03d4ZqnOSxcilDsqEDwm8qXaNRKgD1T/TESqv5DLeYYByjRjLhFa0qPPZVGOKwKM5Pw
h1RS3mtRR10R6DOWshJ2UcAdIdPiqLFlQOSmlTmRIGHOyYUOm/E0aG3fcE3FnxxvYFBFND826IAG
XEOSZp4L44DLlGbzU6IhPMrd7Hwc8jwMjmoAaH8wqRbNe2HWMaauDkaUl7axjTcQjOW3yjKrKa44
at0KtiVwLK6XDERDeKAtJIyHYcSL8VAWxiw94eOl4qCpmUSxD+nEWs7qUpVPikTeIYUAaRt+FNGi
9JwuCNiYIOkOJ9FkwOJOCR5zKO2yJnkgAc94gGMLUNiqHIyPKZio5JYgb7Obm33xJYfRJx2Fkyox
4Q9a/Y5KRCrxyNWpuyzcaj8hIDSiUzIZeHjxk6z4pLBSSr+ZZyt7O6iY/J5ARshfHaJJIQxgDJ0l
+QYSyylbfOHdmbw7LJNwsC/dwhrMHwp3Na7aQUr2qJTT5Dp0A2jXMcA7/Q/HmdALtxZ/cajL2roE
2nJJ77mWPir4OqpuAL2IbQveWHPM1V7LfIzs2P975Kn3XSrM7tJGqvQEbJIDpuH1GR5rUj/Ibqzi
6Ic+13mzOFwTpWDXXKm9BsNv4iPw6lCOSpngr9vW9fSRZZtLJ0VvOY27mU3BE5YcPMWZpr+RS638
vacPMB9H4BocmpJUcKULRgzespkaiCyQxCxdgyUXHLKKdpTnBAL6pKJOwXsjC5zad3D5XrbvpNQO
pDlyZ5W52J4pg0fL44YMgNPbqi7dUf9ail/0sRx9lMGy228x9jC2J7QJG3gpDwiM4JgmcuupFIVZ
+1T54PMlgGd+P0QyjU+Iz3bKJTcr9YOYuI95GheI+wlfgl84LFuVXgAOgqTomDIBFEmVJWetzLon
Eg677o2iNGP9PkqpdA8l25Z5CEOr/xU2AADyTAes41Kc2Qo+7ASGEcDD8ax7eN9Z9mlGl+pR5xM0
YcpZzuwopPY9hKX4N2LVYhDZDKT2UFXN8AC4T5mKCD//kLd408J2mcJHPdTxaaGOjSSvoSEQeblS
mOlRqgqnO0xjxaUdz1hs8EfubsSEJE4WsBepRMEsmSzjWYvywPRIcM2/KGzyXC1sOC4g+735pRZ9
l9E0iOUWymIJJCEneVtfGDn74hDIdN9XDTCESOXkD2cq01/HGEod5tlZ980xOlF/5/oCD8sj0sjQ
v5RsVvni8Ad2XB3LNseRL0NWvVgs61LomtmoiKOTlPV0ByyGHL42O3qHgVXgu4P9Ps571ijYIPAp
ZILUWmz3f0CEhbpcNTWYq5YWYfCRLkTUcpka6q+DDo35IEUWaYhqEpi6j+GmDArYO7Z0rJxgNkg6
SPRzKOEqBojsxPZJruEtnRIOyg+FnVD4Ajh1F/TMBeZmcpJ9nqOuKVxWctlgLxhZRFzPShUfK86H
+cMUK9ro64Rgy4ekktPZlWzSkYDrTRHdlaT+hW5L9RMB25pR5tYS/5G35BlLFzEYzlubKi8nyb1R
TMxMoyQwzgAyfYWLf0ht9dVxELV+Ftg3w/83IzGncArATCnQVcG9PbDzp7hKOgytLdbGglBn5MU4
dQDY2s+Lw0HdFBpu5TiCkkagmZwqRlFKs6fEA95OYBnmcDcM3QjBIk8dLxCcZbSI9BZH59TktjDi
Axxhy0RQlkp7cO4u/FHQSraxCq+LgwEawoubFPjWSzzHskvjBH/H6xIJDoIhIj84EXRSaODYLD1h
Nt+JJCQigUQmLoOSNvVHJRoFBn+Tblxwlmmtk9RWHdBiEYy5i8e9IMAMHaNBL1tpCZBJwfDxIBxp
nxpFTcyQZPTsb4PTitlXujhx7hT6248zpockRFmZ4hUV3vtHM80rx1eTHC68XnVkdcURJhRcIBOQ
9w6XCB9TGpN/XCdz+pMI0zg5R6WpRW6nVE4N3sy8HC+kjpnfCIhwvilVO8yHAbrC4AC5SaX5yKUB
73mUwSBOjpCt/JMBvE9GZTpm4g88lWs/bYYkf0NmXo5lJlBpRpQg7YBTq1vRE9hS054AUIgAVSSA
upDIIEIbP0/cWxGJjHNjXTIpjOV3ATWsQYRRjy8/hzmGu3ENcwCTfxwtj21n0NTVYyjtD1C9qeFn
gC3ZJ45PiZ7GOtadU6RblfhV5Uws3mqSU0lHA3fK/AhmAfynxWb1JyXsL/LwFTH2fxjJa/Ly/0pJ
vqIx36Q4/x8kL1s6rj7aYoIH/UxG07tQwP7tvynDr8jM//r37Gvx/SWXefMf+JPbrCo/w+mF9gpw
t9B6Nf7pP7nNivOzpmiyDPESQiyyQBjUf3GbTflnpC0QJx1TV/CLWiRtf3GbDednNnhFgSWHygDu
qPZ3uM1ryiRka+ThjI/KZPHGWLGO9RrELO4pqphH4DCcBuemNe+qpO4pQc1xhwu6NZyBoQuySxrL
GGRcE99aEzaUQdqhS3ZOdBIlvc6eWJhDLefBqcFJaYefuTD3XhLtlsez4ahpCC7xxXsmxr2g8aYN
1PDKyGQqff4YBqV9NKaseytn4+ROpPjmh4DIwYsTZaHnQPM9v5gXG2zrNT90Gd+BcKdb/AL4oStG
I0Z/sWKLXHY5BExcS1mkRWJk/u1R1nRCRsFKEaWliSqNi9V6lDoUitorfEQxFIDVTelR0pOrJcfT
DlVy44WiRLKZMgYz5pXzX03mjK2JaXZTogzOrSPBSDAqB/i5zM4KXJ8j9E7j1C6FCkE55c6TvqKQ
L4+K4mXhTPILIBZfT6DE4WSH9s0Egpt1MiPwhKrDv95JbOntiHDgOM2pJ0TtuAOMoYNJ/tCFCVKc
m1LKnph78RnSYQbLPtglWm69HJUmL2pueLpQqq9/HKFvHLDIxt1qJjyRvMZMeW/yvjSSpNgJDpGR
135VdxzmMjFpjzk3nmCZgF3FcUqgFl0yrSNRRU/p+5dRgplwL8dwOWzIRQ5soCfgluQbVXG8t1IW
DvFqpVAOYTAGBZcrpLPiGI8xcclk31AKKVzVhsoSftg1lJVBj0GsVbtVbAUuF/5xh/S7sSUwMJZL
UGLZ09ZLtNTjIpgsbXYpYTrPaqf5gj8OrLt+/C73ex6Zr5YKsiI4xjh2LvIslCHXn4hbdTrVUFnc
ikfxSqwr31Few66syKG7vSpfrf1lKGaBgR6Met1Yba1xGzhqjV2yG03RJc2G9okYhP7D7UFevT0G
UWGGo5tBBQO0ff08YLq6WUeB7kLFoP5rmvyRvqygTVnPRy663c763xwPx5QlkP5Zd3M9HmGfELQB
yjBICYa38NKqR6TlkeukdejahdJ8vP18r6xGeTA0EuxteEUB3K+94vK0G/XKZMCYsAVYnWR613kY
u5jJxG47pV8aDKzuO7NqP+TsBmfyvLQTna10Zyff/iFMHAuIeREsLm/mxVFikHg0jdDnXICO+UyM
WfUYZlwsBmAZWnwiv4MQ1nphQ6t3NsbqUqdDcep6TtTbr2RF5pZlE0E4/Wu8ge3FIGi125sQeKIq
Tw1XVPhhm9yn/WfzMD0DRY1l0nWgg+ztu6+2h2VQcnsoOLGVsdfrxiy0CmMMR3dVkrrhTQbHMaOx
iPcHkRpZAugDdQ5W9PIbbJy985FNjwPZ0yKSa036yHiaVbLLVYxWclXfO2aoEY5itDsTZuPtwOBH
ybdo5pEYrd5OV+mFiWmH7NJZfW+a2fwu1IL8fSbML2VLBi3wnR3tjPlq30cdrKNbe345Kg2g66lB
2B1peLIiY/5bVfd9A+DHVSR2S3bUj6Az30ppuYEipPBIU8939pln+cfV1r0Mv+wyzAn0oGuHb6Kn
sYlsbF6u3Fi8Zrv6hMoLwkJOTmeTaZ0XZxJ9UVhgbgD7wW2h5/uTTJ8CZxvjZIyN6nVwOt164BRP
S9GdkI/BjBBD7t6evJuvCogBpQVEXu1ZW/9iFeFwIWICx9CuaKpzyMFa3swlygtiRggEKeMLUeYL
2vuDOjG9vz32xhx2dBxY0fBp1Enr2gFQjSApct9cA6z3IQ0IhkrxoLu3c/UL8TtEKnAGfiwIidjZ
NF8fOnwgZIhUvH+6K1zPj0ZMndpWJnNyqNMTxl8C5LNP8BKcdqS6W6+X8w05sE7Jqa7tU5zBdFo6
ELDVbC33FV1Y5yIovs2y/tYUBDMAylQu8a/W/RyJnYN8a+W9HHu1CqrSWBzEGXvEnP9U1ULBWwoQ
LVSUyEdjGd8F6rznFfz6POIkx3KWq9Xi/r4WYKElIQQRzpFbCjIyKnaWB7wdi0ta6D1O1LGxM4e2
PiUyVNRCyGzQkq8ecmoGugc0Zl09Bzu10iD1g9T8fZHU71xdNg4cHm25GaJwVXEvX+1kkqQTRMPJ
7xZ53rox3tJuUZCJOTV67jtLelxFOJM/2sSKjORvnaAqWfBgI3Xnw74yvODEcVguFlYu9AmU9QYT
TcSdEO0NL9cI0ShG6qW2xTt1mpc8MIgj8ZQPl4jQEdcyguBIW6g+OTUbTaFow85a2vrgJp6jHMGU
q+a6XNSyus7NEgtcWnjBkQDT2AvmkMAPg7aVAi3y0+1NY2tWvxxv2VRebFhQy3Xg3R5NIXHYhHQm
CEwKrL6FKeJzMknWuxqsakcftrWMF4Guvshkl9zU60HBVJEn9QquxonJBUfv7bOZT49S6yxenBnR
hMZATFKNiAcUK/VvP/Ir98rle0P2oD4GSebCtZp5djxzQ8J4w4VSZF4IRBAPiiyZnj7Y+UEKMvIB
MzKHyNNaWGWkG7VaML7hP5uPNEIGF2EMjAKRmRezIbMV0DHZO/N03sD6zOOOtUwESjKuhNdvCFO/
vCwiaLk0p+GZkhd2LJw+ZIWkBLmVwn4icIkk7FyfvDaw5GM3Z7/HUxM9kWAke7rajncluM3l9qvb
mp0UHZiFsDsY2tqVAc98ArhTjTWrpMaP3snkY2ZleGv25eAR/GrurIbXR5rK3kBtZmH8y7V8eU0v
ZucAnDWlpqW4I/zXY9aSICnXxYhuishitVIeHbOAlqaEn28/5+vXz7hLcYDVBXe2NeKgB6pJtE6g
oHvFmCFcOLS9TYvx9iivlwGjOBpp2ou6H2+066dT4ZEYeoAsDx6G9dYWpnV0NBw3CaBsL0E6mUQp
RvlZGMF3e7Ttna3+9bdcRqfcp7ajrFpbPdHXyIcS3a/rSJFD4QpvK0rt8FNWCM0Nq2TPGfL10QKI
A6iho1wGO1gbGGbkdutp3qgE0SdsnTBSzyb2n14/jfrONN36fOCNyy0CGA73y+sXS1BtnScRQ8mF
PjyGlGtuQ3tjZ5FuPZChyNwWWRE4h6zupp0Bf6ApOh6Iu8EJtqR1mqqpuyQkL7q3Z8r2UAgt2Quo
BNYVuJYMcaBWPBC9i8lVctH7IyIEt8Nuzbs91Na0AJvlPF7MQrgNXb+7hoZhhOUjlAB5nr0hS3+P
8KByY7MF9pro1t8ebvPJMP7DEmKh7a79lWaTICqI/2iTkyY5NhV3T9WhL6ym/HF7qI2KQ5UZCZU5
PjmLz+P1o6mSqDDQLFW3GeSOBi6B8ATD5Z5Eo+RYpaNzMmjJELxWBL8gSCAtMR/Lo1LvZsRsLXwT
dJifgz8ByNDqh8wV0iEDITj0ptQbgrI/caYMLpqCr9OQj+5sO9bbyagGr40kOd8pvV6f+eDhCogc
n5fVv8YcUDBoPXCD4g653Z9Lol1auT1kifyYkJVzzpE+nm6/+q2vTHMA6i6VO7fs5e9f7ONFkjvw
a1E+oXVEQiKaGSlyXLh2RULd7aG2Ho5PaziLLaCJ5v16KPwtRyUO2Lo7IsovmjzSbs6Cjljq4p1B
Ahble7xn9rR1THFIILHH4Bd3k9WaiYlGLACpluMCNaZEwuSdiueyX2p6/Y4WRH+gHSD7JsLanU+5
tVox7VrOEB6VSvr6aatI63R6mCqMGzIxyq7G22pQCreLSDrrw2JvDW1+SGwyiR1CdK9aqycd2jHR
B4m3qwVkGWvkJUMlKNCDIfTc+ZDPLtDXNZDKA3Hu67zWBRS/fjYtkFUMP2OWayONj6KtLq0skdtX
x46bV4uniiK8bCpQzivO4yRk56FGHIsIHS4Clu4HbjP2OzMc9EPEQQedg/bpjGhdm8fkPFBf+7i1
mC688E9yEGpn2YiUTxi1R/cxqnjPaOnCFogX/KAkBrAh7uPcNqBCEp6klziJrAv64PoeUcJMZA4E
3VBTup3tWNmYzwSz4mKCfxD2OWsHlTSGNx9GKpeTRpMecocY81mhpR/nZnVBgF27+CDjn61JuhcE
UI/6BsfAJEmzCxge6ZqV1vlQmGokUH1xX00R5qNVvxdEsTExXv7MtZttT3A4eassgWggddMUavMO
2KVkqHA+3V7hG3OeoXBGwtKKFuLaPTwg0jUVguvawDy9Izj7Yw1X93NLi+wE5wGdyz8Yb0mdULgd
6uoa6JatsA/QTisuCmH7XS4P7blBHOnVAqOEGQXqzsTffJUkh9BnoXqhZrqe91IIiR7rAAXZrRI+
JlMmjqTuWqe+mcZ/MBQFrkxBby+476rd1BvZpCBMBLkJjPqOYPXwBPm2O0YqjJbbb3FrHr8carWa
Z04iCxokcVoJaoG0MH+tsi4+aR3OObaZLgmSzV722zMaut5CQC4Xp3DaVtz6rl8lQWw18wEBA9qF
vD9Gsya9N8oG+pYNs82fkNX5tZl9g+2L1jVNY5j9Eo4BGcwDoYwks6o/kq5RCHrHtP+QNzjikWGf
5aw1+CfaHQbRkEeDMgLcIw7BSeXalUaYP8fBUkYIVPlIkykIoNUcRzPo1UMrFTMpnpWwPsvtiLK7
igLjLpCq0UI3npNRoM7N8HZE43pHBnw+0+PDGrqyQHwOgL7Wm5A7he4VaMSesgz5/SEjTv6rkWkj
mg/eQu8ORpmhL7eKwvAiS0WljSFxZx/wj4Vza1gp5KQgS/+A/tjRWiHfz68gY/yiq0CEizRxImE2
RxDHvlxDE+6g2Nhkfv+Sc1nLPGcw6o4TQDTaMUbW/duQVNUH2NuKN0BFh62rZPobUVjiiwMX6X3b
UaweUIGegLJmGRHoOBXH1tTQ7iP3a76HRhcvwcsYubs5sp7mYPVl84ttIbkndK3pP92ei88F1qt5
wclC/UWGBavsel7kattWQgkQF8E7CY9NvygSha06nJyDovyacg3T4TBqNLSlMUveYNdS4cxtq/Gv
XWAiUEzGnAjaeURDinFS8wXDBeedmCNENQFHzu+V1FifRlR/3zvc4s2dUnZri+DWuFjALemT63aF
AWnZVvsWWLBjCyyE3PhR0ZW/zjPf4Pa72kBLVDx6NQvLZLpirxpD6sI070SPA4aTWq7mtMa9nEfq
WYTOQ1Na3RM0OpKMZbvynClUTjVm30cdaPIu7/Wvveo0rgRr2RtmoyUjvnP82z9wa2MxuDssFAgq
6rU7MhqOEf7uSKRImJfulNYZbjOmCb2vrck+T4eHPrF23v8rU3PZVCmewYgWfEZ/dcMcOij1Vt+Q
VIU1QXJo9HJ808/x53HUkK8sBNMDcaTpJ8MOOyK88zH8hMZ2/IytTPBhqEgvwNYjhLxHI3rvx22c
jyr9RFlRcRrBLXp1zUEDLJoix8AylywSGuPpt0YQYjfaMkzXxlD//vtXVVpDuq4yFsZW12uJZacE
E6bALt4x+imzxgo9ADoKgqvNt2mKelktoj2exsYCwPrQogfA2cU9f1X31rPdV4VFLpqo4hC4q2yO
s+k4l7bTq9Pt+bUBDy/XYD6ytlTalADXD2jhGsun5QHht2RuOIXiBMFx0Y63CnYSauDitR6cnAGb
uzm378dBLjypmpLfLNw6dmbextVxubRxfTXQhmMEd/1jkmaARWlk1FmFU7Ekcdno82i+QweFDlIe
ivseivDRxPndFUbS7gy/NbdsbnK8iqX5v/7YM3KSICmBiqS8UnwhJ496Pfoq/Pe7LEz27OeU5TOu
9mkIZAqTGTgcitnqMzt5rcn2BBgxNoFwaTHhHSHmyofG2xzrmPQ9tUC8lOjtZ8j3PkLNfqc5sHzc
V7+A9gS3Vn4JTobX71s1RB7qdALccFk+8UC+KkIj9Xx7jm18Vdw3VXZYHP4sumnXo5hkpytNNqiu
kZnKu3JSJ1egGjlgfjt6INiFm8p9fSn0OLx01ZDtlIFbwxO6ARIAKgIevhqevkqU9RMeFnMPkhXM
4+wWcgkSQgqgp5O1gllObxHxWn0UkSW9vf3wr0lPmPzy8OAhGr0uHA6vnz4iqlnGCl3F8wknkqzK
zHusKR13spXca3t7Oi9gOxDeaJMhNmYeME127AKuZ8lgIo4SWQoh1Hhvi0HsvJqN04Ulj73jggPD
IlzNwNiB4VKGmupOlujdaFaVtzVH5UVr6A6lWtYfJiS3O6tsa1CaE1AFmfkYIq4m3dihZZrMiEk3
UY/X6RutK2YvtrT4jPeAdT+1O7P8udm2nuZEfVjEI9EBYypcf4IELXIPsX3BMgl/NJwi8VR5LEGI
6uohsiKiyulKHVTY+j5Cp8VywRk/pk79NXPwfpaM3eTbjZ1mibkBqrOxfMcl+foXZSgCu7ISMH3H
uP4gWWbnoxv5hCeI6SPP37On3ThQuP7g3smNizewJhqlcNkDLSs0N1aM/JQIg2q8o64xHWxabs/3
ra/LjKd2RqMJpXG1hYukNbK2qjR3HHTMtKZ5ONQdita0lJ5SORNQOES/M+bmTgqbFjgFb0ZOwtWg
Bms8Cx2SbmnwtvexIehoRG1C5qyC/wmC4UM5NMYR3yBQ5RwZu4jMwvsHDw5QvqTAQLGRlxfzAgVM
CnQkCYYAOLwNldfOxuyOOaI2WcndJpJUDwOEL/9gSFq6EEcgGVPrr4ZU4nIc9ZGNdY7aN4UyZNQl
OM05oV26sE4wg2vRa+9sGps7GrsZ5wWnFury1ZOWtR6TEBUweVOc+KosFad07Mz7CtdJ367wmECp
ZZ80U8fhL2gT25thuR3Ctqhdcyqck5zAuR80qzpKFh/o9kvZWloUMmy2sDk52Fa/rs1mW2/ySHN1
bv/I6bRvMdbnrmPE0r2ejM7e5rK85PXmAriweA0vZGxlOX5efHcc+RGRpQjE+Aj2BcBhPpoJQYWB
XQo/0MSP2ExxQQ3z8EmkZXMJcvYg0dvFYzEaEEOD8EC1N1xuv4WtFc/yw9iW/g1Xy9UGY4ihw4OJ
fN1Zr7/PAc6gcNvQdC8K7NsjbS146jUIoBbwNzbz188fOk0cx3Dp3EoKrQcLnxOg2dnyWx0RSdUa
8n2oxdo/GBSqzRIaA3cKJOl60ASKboxcRndxxBsIOQn9ua2RIWIFTlO5/AiT5+Ptx9x6ofDSLNqJ
FhejdQ7BiOAsKeoE7kBoZceh0pVj1yB7ShvUoreH2uCEQaolYMXA/nyhTS6/5cWUirUIi+16wJg4
lbXfzLCPz+Dy910SdkdHYB440HE4Rdy5/NrKVNwx5/GBaFPZsxEYM8uzGY6yJC4izetTMSsZHUkg
5amMdnberdqK8hV6PObvnC3L4njxS7nkYSnbtBjISSjp1Sr8ipNlfRfVdXUktTO964y5PyhlpJwg
r+2FuWx0JugNYIxLVcXx/nyPfTE6GTsFBn2hTvk69R7pnNAqGrl/P3aN8CFEyo/Y8n407XH6B6uL
NYVbLN1VivQV3BcNQDpGkDFwZIAJyHZ4b43S4CKybf/JUEQbQJ7V4B2uexJ6icEltk9wAYOiPtoy
sTBZpBLnUJGWd3veqcvXWm9lYGXMPFiigA2reRfZZDbgLqu7mNU0bxTR4doXN/PJkZTfI7uoHsfI
Se7QnX7Vms6gaMLCy5id0c9mFd5fd5JLSfYD20CBhyehJ8D3FIxzDybXc5hF2XAfclr4BMTLhzIK
MKmRKn3nKbb2IzIal/sjmxISkespOSHEmsOk15f2+OhFdQ69lVT6u8qqsGQMG6TlKG73luyyy61e
HVAstwsFOgfZ7atRNWnq0qIZeHVVF9+n7FyHPIDQMVpl7NatPLlapn/ucjP0y7LN7vsSG+Xbn2+r
A8zuBJFuscGWuc1fP7mBJVgnBzw5uon0Am9EO1pBaR96Y0AYRAbTWzxdpYfSnMhIE3LrF7kT3JFU
+3cjvcCPrn7IaleIaJcFqcWcFdLQQHLCH1rY1pd4zOMdc/Wtyg/NxhJ/SyftdSJno2s4UASq7iph
D0u3pasvjPGPFLtEz0zL1re6sTvKORJ4bdGcj46j7qzQLQhFl8HgUUXR10AUdv3eyxzrnjhVdNep
h4l8YD08DmpruAWnPzbV/explGmnAaDxkmlajV0jfkXcR0Kws2kvGnWj/uF0ogrWOT4o0VazwIms
aaxDfo0iguI8K+xNM9ZGjxC98aKKs9y7Pe2WTWE98+njLN0jaPtAqNdPX8WjXPdQx10Mc+2DrUrp
BWtvjkic+v7JUHTGlgaZighttT81oTUVON7qbi0HbCDYtNxbBkm3YyXtfdSNrfBZu/ffQ60KjGIg
lS4omcJJ6UQHcFn5pDZD5d5+d1s3U7zCydSAKsr8XVOxLDuwGhsDC3cqpvarCeR0hJSTHhro6pem
T9khFaW4yKFW+LaGJZgjgbPGHRzNpsX63e7SZG8rW9oDrz4oWJDFt0TZuA6WwI+gqcblcCOdFk/7
hf8XaQKEQq0rTzXz+lscTORqzsX8iM9EeYnqJvIxiFN3dvKtmbyQrgHmIYyTAX49sxLcTCKpRO6j
kBWGTD233BpvqhMAbHyRNMqwf/I14OAvchXgsLXAURBEZ1Q447iYZ+gaqi2jGH8LpcHwO0KouD7O
xaPIA8fHht70rAwR2lBHjodZYvoZa6Zoh0m6+QKW7CagEmrcdXVlTBB96pKlHCXYKsx5lTyCYGQH
syCXqoxSY+cuszkeSh04X3z4V+e/iEuDqLuGST9jHekE5uyTdFC5VWOVHkL8LtuZa8/ti/Vc45iG
/r2g61A8rj+xpc/hICkYEIf6bJxkZDpHMeEmlqnBu74IG9cswYDxpnfcEiumY9blcEW7OL+fiwhH
0FaIS1FU+YOtI8ND2T95i0gd70OsxVFSF+chMqaDipnkcdKz0segKzoWo2Z7kWRVT/gpd14UFypE
D2sPXdvaGQFX6aEAr7LAVw8nTX0pmrLXXFkLw7s8KwYXPWt9tEg42XmRG5Uw9LJFA720uwkKuH6P
s24XSafPmovtaeyqINmuGkWmXwFiubgTgWKn0XSpiR3e2cK25gzFN8JQZHKU4auR0RE5uJxFOjRP
q/E7UTZvQ1PCUxM/CK4jsryzJraeVCeAnrsGmYXo866fVMP70ohgJqPPwa6y7WvtVEvRAySW9oIh
TorjpRYdSmWq39zeHTYf9MXAy9+/uGykPSY0ql6xGBtrwvJnNA9qGToHQ2DlVcaa+fdR80XmAqFv
kbzQDL0eLyKoochliBKwddM/bKOwMSanhLXnacAhwUkfcybuMa6s0BsSZ497tXUJXeTIUEKwp7Zo
xlyPL9W1lKdcFdw56RyMjsr4S0DdfVdmznjBtXs4to3anvNRD7xBx8ilQt/wNdCN6tDkDn5nRt/R
TWhIF3Hk4mSZaohF2DSe+zgtdt7VVhuX+x/SV9reKLXXIHuC41qnYzgH3KEmZyyGvmtjxSXJMhq/
WmjswqKtHUxJDo1sVD0b9zGuw5n80KhmfRgmK3kcKqG9kUMTx15q7A+3Z89mcb70PuiAEBctP4Nq
L6aP0kiVYjGqW1RSXBxGPFlOZa5+j2dt8gZcnF1YDfYvWZianiaBOlNrZk9yENU7p+rWrgTn3qHp
TcnB77n+rnlk1FPoQDwbx0b/RHZAfprxf6KPa8ufbj/0culZ7+4vh1rW8otnxk1OaUcDgZiugA60
EAnxt0j1iz0H4Z3Zmabf9fqXuZVlL8b8Yi8GbHMKMx/oIy7lKXTp6/GtUJoN4gEVBGracED9Y7h2
RKMjx6vkw8yJc98QRuI7uaG9S1sbdQx4ySfbTrsPYhb1neA+f9AiPN5FWxAYmsOjsWv781LJ+7df
1RYfcIEx6JGhjFmEbte/NcaImlybEt5XimPZoE75qRtkRNu6UV469DnvQ1ttHlQxF9RkyeSHchFh
Io1n7VgExnvuOt9zNfnAWtPvoIIa6D9G/V4fovqBxtj0Vcpw08SNBT82XcNSlDymh6iblS8d6Vfu
LPctCRQWNY+Rlv7o9LBm1LB4CGjIepgt4MxX5NqDQfF1Z3Rq5XUZQd9w4YedKuy5GbGeNTY4Ohcp
LlMUBtdvgtegF0oHC5OTvHsXReiFnVix4DXjeoaMQnvoRWfdqflUPVKICY9vOtzPJKwdsX2en0or
6U803RYXTctyO4GbTzWY6lPYicLHjafAlTKZfsypqZ6M3tprN20tMEQkylJGoedch18Clw3YadtE
bBLy4k55VPs0LVKfRlC9cxhuYB3gHBwRCH3AJK3VRdvQ497uenqLU56mngIv5SBhTPRGCNzErLEr
yOWQup3Uu83nYyNTAClZW/Ly9y9W9SjbuaJ39K4MK+s8rTfI3hisrwp0rZ3b/dZIMD2Wb6pzuV/f
95Qc4zNZYqS6HtqLbOp3MKzVt6ml7VUxmyPR+Kc/TN1rr6sKxDIVUl/Oj6HNxEXNi/I090pwUq1B
2pnfm0NRyz/bTMjYJly/vrkCUYTIxjfTS+hvZkUCdkPRhmNctVPPb0wPyk86z+gq2OrXTPx8MgBi
8eFz6yZsLy0BLL6hlER2ORPy7ZQ28yTtNgA3ng/TVrSklPXUD2vlI35joV0IR3XNwXZOmFpl8KWI
VtAzZw99fgYkV1sFF2H2TLZ4KNvrs4x4hcEJJno9vVMX/mRCaoyhq5zkSDYfpVirTyOSci+bp/xN
1knqMYkKHOvsxfPAxsIO5UvjS1kJWO2EcAqx9HCpMAxvriT7Adqe/Q633BjmtVZiR94CpWRB4dPe
Cv24Eb/dPgO2qhh4OHQQ6Qzryx/XU0MRavwn/wTpUnmOUU4chNSEDxiGhXc9Tp6u2mH6bjVZ4lXp
NPnmKKcPepYTAyqQHclD0rpkpmmP2NoTi+OY5efbP3Hj45qge1xHDZqtZL5e/0K7j5MBE0JMsMtI
uiN9KznqAEvnNJL2dBwbCMzLodZXQ6BMZREHQ5CfIFnr1ljfJZEc7GwxGyUKLTt68YsjBq446+vL
kMdGC5QMGwTr0dBKe7+p8ERuHMs5xSbXUMrw5L1TaOICKTbfWaFb7xOQmh4ubQz6KKtTX8Zk2zEn
zBTGuo55qXFyR4bTN4IUmp0CY3MkbhMYT9EXBFC4/nJKq0GvWbhNURmWH0rNGvy6iwD4NUqj50ny
t6zG/r+ZiKkL9HbDNOw/2q/tT99//JR9/ekYt//6z5++dz99/trG375eBykv/8yf1mGK+jM3VKAk
vitb07ME8S/rMP4GKhTsRXZn7j1s2385h+nKz9BwaKJCnVgkAC+cw57/iqOJ/x6d3ELa+TvOYfqC
PbzYOSG90jhDdMpdhPlA6/Z6OrRkqoXDqCkHB7vGunsX6++CliiB6mC1blOcJ9m3xg+yeUic85OX
i/dO/KRq4SmARWNo6UEiL0QLlz0G2KX+WBBjKj4b06do+CTPb6LqbddWboLVaAGZ2KfonBCrlN9s
CN7jg4UT6V8XrL816T6WOf9b521fmdv9rxZ4/weN7aitbs3Jx7JgIhb/+k9kfC/t7J7/b3/Z18k/
cwyTgAwVHJ+s50v8X3PQ/hkDJZPeMp2i/+LuS5obV7or/wrDG9sRRn0AiDGi7YgCJ0kkNUs1bBgQ
iQIS80gMHR3Rm95673WvvoV3Xvbu/ZP+JT5JClUCxZJUhfRX5ae3eRJZiUQON2/ee+45oDanR2e7
CIeUvg6EeohYIX2CC8lX+josQoRsQDQFjDGqXAXY/5Zn73K/uvaUg8elufH9w1WoYYnvUAooxwTx
xWGETOZEuRj63sgfgirLyKIUXKgFWBUpUUFVgSA+j6vPEnTSRZDx1NAqQWbPh7Zr6Of2iS+IrjKJ
gaifbIMYTMWhrSmLLINqxcSF2AIZN37N30Kw0BOMQEnVjTfUSp0qt+j+QhahYFj6cgCUgugnI6AJ
UksFmgbkopyuToMaKRxNXSGTDak+ZNQTu9xeSKHkIuFQryBNIQlufedXMvTQSAIusCJJGhqSl8Br
vm2yZiSV8fAuAKUjGMJIUckjFJ0CT438zOcaMldLCTW2iFVlanY3lBKdjCSMAIeknYSQkhRD8w0l
+RByxT0J3PacIMcxWEI5/sQdcsMr1N9JFtzHiBsJUhqB05UD4TEHyl+QH2tE+5RXOZjh9WEOFtKV
qyK+CfZ6KTBAuh8vYLa8M42P4+IcTJyiNgMQ2DkZpj7Ea/QGmdUTqRbtWx8ku2cEtNMQ//J91QNr
xjA496ASlY4cDPcnzs/lD1k2BONMDbb8udpUUDWLiwjg4Fx342QSQzJHKMUY8jBuDZbcmAcHBMZG
3F6imi2BLpuUbO8SMHuLhmOjxhCSeatKBTImQ2FaoWp4iRjU3l+8QpaWlVx5F/ZWGj6ATh/FX0Gg
AW6uRQWkNaIi0NMlykCEM5FsRRfTWwgnegD8A+A71VUELoYCeIgqOBU9AYqt29JROANafdllGFXT
RIdmB+bZ8RbgiiIfEiHW7xUx5+VJseKHUFgvFMnwic7hXVDyDY0YWb9WPc6/B/oVYKdiq6wg9cR5
W3/CrUIddXUrGW4bsClpeu5VYXoJnEozxy1eo8poEZRAwEKaaKecGgv3gegDVbKVUajkl1AbAxkp
rvoTe5XZYEDlbJNXVoU75rJSuJMUbmsScH0146zKS3fqJ3YFmN0WOhejWrZV2YhrHUJYEBRMP/HQ
LIImKGpVlrbHgVrWDocpWLMjL7/27Hy1LN0a2WpbB6EbqCGcADopoLU9BU7RT6FGQ9XXECyAFhaH
lNNlpqP8ZaSpFSh7sYYiCVFJR4WWFJJz1ai0Iy41HC7DE2QOpoTKkyrnGkT9XGSDJZCuu9uIm8RV
uQU1HUpWLUeExsJpw8fbpQ6P90yGBTpRRc5FsiPKwwDkTNDEPIskuGEoywiSqRwIbjjSQ2TGIDcL
okAD0qbLeoVyKFtPqisVenky9NwSDguTSIE8CpyMvwoIJZhBPWG1CFB4jkUc8jIUXxMEZW6hGI2q
CljR7aNY+w+dTt89ejoH1H83xwkgJZohfMF1+lffop7TsuspPf67/TnFSSBTlYCaABEG4gq4guPM
2R9U+AgIGwTFEPEHJQdiGHja40klS+8oMAacHZT1lWIgv55U+IgKyeAiClgkXCZd+JGTqntLQC07
vafTynqK30aN5IHznEIzQGxyG8KVqrs6yVcmBCF9A9BIzcgjIl+ptjvTKp2CtWN5701j0o+fkrtq
j2+u2u7hgK2hghHpYbzKYbzFbWpk3hwQRK9KSHAYXh0SxK/rdKpUQ/9ek0tdAit66o6iMhWyUwjK
guU+i1enWcL7lL0yQQZMiRDFBJkzqHe4UFtk2tBzRlEAndwRcCM4ExXPn+cl/oiL0sdtHdhjx3ES
fk5DJuCEUQWo8nirSyIE1bqE0GcFKQlwugfQmJzYqZx/SHmR1IYGCnOIvBIEtoUttESibLh1plAq
BNaBIyiZ1fwaAR0vrRerlaNfoXKRfM4byYHENQfBEUhMltU9widThfNlk+ND1M65wxz5SKIFzsmP
31T+pNsSTGnYDd/flktz/cdfNxEJsTmLwXmUbp76kCg7ov/80YscvkO2DbSi2GmUWIIS4+w3p8jj
jkOR5bQKFa4kJXlpvUjxHWpucZOBGClw/ruyi0cSZImHF0nxGzyNzIP/8ke25h4N+W1/UF4rpJ00
QcBGB62NflgRxtdKIjp5BWksNQLXEl87wgISvhaJz+FOfHRtnIFuVqM4XvssZPFHx+FOFaVUzIbj
6lnopBvZBhcjXINLmhALjEyRo5MhFItrOYVXp38a2hS+7QkzbSVcCXU2Bqf3JTYuZNNi6SIqc+eL
HCaeAdTjqQecJQDoU77KziP/y3AIOerYRwWVz+vkJs/V6KJxznjgs2ovuPGg2wyhMpxebgPFWWg+
6vB0riPgOyjDi6cFs0hxL+wqH+tQVDaEKhKnNfQflk5N9CUJQmhWSVscYzyO4jy886P0PgmaJXRl
lgLI+FHPoBgkhKI9uIRAPFtD+igcTmoV+iRVFCkXsuyIS9WuZ3zonUKXdxTkq9Mi9e8QLoTgriSO
CJHWwxwDuEqBmwOO2b3IogQyL7aK7d+AZDYFSiWPFyCPXwRqtHGIsEk0DtQ+8JpdPvigbnmoIhDh
Fg7ycFrYoDgtQ+lmKHChAS17ow5SbupX5Yc0QZrebm4TL7YgurBdcD7UDCP1UxOoZzLqDKdDV9yE
4El3BXDDVzV3FZLVPAJ7FOR07doIY0SkVoGvn9vIBSACj1KPIibjMrZWKYo84y8Rn04hvJlZgcDx
44SKxjdgA23wjyEQ4twCdKwYQwnyO2oho6A5TcZyJYYbNUAxrFK66rUj+rdOek0L9Q3ohIFyHrKP
N6SCoJ6vZ7dAzpsQsYNwnTutIg7FtEhII+WUN1Md2tejYdQAFabV0E0g6XmWivkFYBDSeFvn2xkJ
tkDKCgoCULENmbfCPnFSX5k4rjcZRrk60hJIbsRqoI8I7wuzqoQTWgGXbuD2l0xEnoNyZgiHmU+K
IeS1nM81xDBQx7eF5GOpXsqcPQGDoDbnNE6b5Lid23jhCTQORZS/gCdlC9ItgAhATxPFwQOBU1YK
TXbixdDAI5AerJuLAr6xIYjbWZ1AY8QuVielC/0DBSXeECZD5VoAY17EkCwUo4dIDbUxFO5iA+AZ
CNUGUCUciduV8knUsk8q8D3EkGppvPKzrDKG+gpMFpGKoFv2ofSHIPgWJKgPFPN6NZxhnY9TPoGE
gApUrzRE5ZznQ7q8JIqhRtCttWVO+sRB5BG/Sgj9cjeCOwSznM4h50tRJBAZFjEFHBdcytGF76w+
RZC+WOnxmRZO3eZD4aFGyHEm+io4FVyQH2WQ3TmXneYqA7TkBBIwqws3PYGPAtezaE5xFE94PQ0M
MHZZYICClCMmZKJm8Wg41D/boC7jsXUFGec2IZ/kLYGVskGygVlJRwrvSRMc+mNwviYo86vqE0Wt
4xOE18vLYSCrswiCfuMgS/wZVKtu/FCBqCCkBx3nJKwUHkoa6heAPpY6gAjnntuYcr1Sz51Y1ker
6FzzbJzPPppW7HQslfa0gkDDarsgtgg6EBdJeTcIhOsCwW6jciH7BkC1t8i8EkpdMvaYDhSJZw9P
cW2ScFUq1okPgLUEKcI4lWeKnkC2BTURBmWOwP/F6xpiyeAeyEC3w1vblJwVjnMJfVDpxKsjaFhV
pg6B3gkJfKgSbfkLRAeQGubmKwdgAhKgjr8wZNyA4amEORatMOP06rOQCD5whU0FtWnQlidx4hqi
qBSG6w89XJnLD5rbLNwyCaAkwocoWVPPqlXycVg5M77h7FHj1tdbr8a0etwJsFOCgb+SeRiJM02p
SqP2URvkAxmrgcw+Ay/RGPf/5jPvceDGUz/XQTCveJucp0HoTlQ5KCckrz8JRB1DJWth+9wW2KJq
rdu84UnR1MYdUpOaJQTKApQ8ogI6jeQTSJldkqIEw0sGSx8X21tAdY0yaUax8tmOhRAXNWjrqspM
bbiPFah2R07VnCQceBr4zNQSqBMl29sKAklaXX2A0vp2wifVp7rYLl2SjLXaBwrFTsaNw+lLWy1x
r5dC7ozTcohdupVRbUOI7yUlmchhGK6jrcDBowTlFRIGJmkgE6rpzZWaofBfQToqlS/kTNogc57P
VwkorCJVXGeoADcU+760a3cJiePqMylQyphGyizFeUecLQ6/DNpUoIUaaWWdjFJNTSQDOMMrt7JN
XLDnWz4/Ad+WCM0j4VTF/Ww2DLLyo+uDuRy6c/oklHAkIi92IaWFEVUPKCcvxq4dfFJ1RIRU9VMY
giFMIoUy1ZpJnqOYEsp76pjjyTkR4kuBy+YkUr7YcVKPeGUrGCFgK0hcrAwdQZaxB3D4CPWO65jU
skEgBzjieOfORsH1LFGUdZ3l6VSXa+mG56vkCurgmVEINVwEIdfsUy8HBgj0ENydn5NsUoQCt3P7
xy6k0yYpXXC65MT3AIrny2zlFZcyj5LChgTJubLy0mv459y5jbzDaQS24Su71JwvK2jKLXIUR10m
SDA5c2iQZDMI0agfobIHqU6laKSFkGXNNAAh+YdYlNVTPQFlY9I0wwc9W60WPo4TuBYepDjrCosW
KCjUkEDlTA2LDzZ0fc004aSzBDZ2kghKcZY5FT+pwAtyrW2jfGyHYOwY8aEfnGSi6197qBq60DiO
nPlbDboEIbD+fiqfFCSPp6CqTmNAI6Lsi65B/5pHXmokaRBfVFBjhYBaJp9JQZCBPiEV54C4mJy+
yjee7kEV2g2SW72A7iXsBawvTewodTlOQre84u3GmZQQlFhD7nQFoVGgjk+TOke5bp7wtiGLWbjk
SyeeD700mwBtxF8gtuGcARAF+qs4TfNLGXK3Sz5TQHLpo5y2MGWtGq1saNYZYZBDkjVyLiB1VlxU
LniKJ2miJGQsp2l6VVY6d5bFeWOgSlWeCY1Tbg1XkcpzGskCU+UqG+moPDrjbAnQL5foKWSpIMWJ
CKAcTQqfKB/zyq4uHC8xc13fjhFbKx9KWeRwvRGhdW3X8hb+2LB0x74SKlAYiJszUV0l1wQ8JFPc
wORPXiKCABLGEaQshGtmNkJ6cxUpzVEYna9Ub77SsulwNVZwlOmZuRUqflbkwRrBzhFXK0CQKHO1
ThEcEf3TMN/md1CHRJSvHMta+dkN/DlXD3Fg++WpmJbuRVEEIH/NbQmuWQzbJO8GFjHDAMUcIiBL
ecovAqUAj6I8nOWAZRigQl5omTtWEWK8UqOomMc+knR+dl0M8xEwAcJEy7BufRwWEH0oZ6XrbyC9
Ko6KSvXv6tX2PluBBBcVhDaQxA7ALrjcDcPQnkaRPo9sIZyiPDa6gALSMgq0E02R7hIPAlLwsZKb
qiwnAORd6c68FLEJmxXUqVDmbmRhyJ9LmYOQkx5PA626TJIcrJrQcPPgj5YrFLRgIxPkfEdgnIru
gA8aQZZnJIn1aQFNsJiHBJofk9mKI9elnUkG4nDV1C55FEqs7psmh7p9nHOGWyvBGSAWigH9XP2q
sotggnThTPL4CVSY7ocKaotVpFiM2IEmm1GE9UdcLj7irJ5DyKwaF7l8ImpfEkXWL1TRs0+rCFKY
Jb5r4oZOY9w4LICfG6dQO0mVfG0nQnNW6LeVZy+gJjkNhoCq6VVWnuQcNLuIPHEKsDfjzQOjGbqo
TPtQ6aEDEhsNMpX6GPe7S7ECfIjH1SaIkouVVp6pOYX8JCtigedRhyvkLpOcnjH5veAk3GKoeUvI
wDUAI0E2yrWXMmLVmRaBrH675HNvUUvN2bCBZHUT+VSLzbvRZQ6S0/lZneC2oUYh6FT1M19AXfWI
z2tha/lFaQhlVX320oTMJL6ZCz5nwCmLRyUIryZFroeTNHWg2hVsIfIph2fSFj44jjAOKSfgkPIJ
9Kxw0qQVDgY0ARYb+P8KoMGhcp75eDxwQFmjBQYUupa8DmZ/YGU+QFVquEjrBBH8H48j/FcF7h5j
jFTHaBIi01FfFVZaX1tZAVHRNvtCP73EZT6/jX7uSy83NLB2T76tY+uf/24dFWFOe2BDprMbNDjM
oe66tOvvSy34yKPmxQZND/V34IwEkxWlAvej0H78O6e+0/EBqgyRltr94HPENp6Mzffe/uUX2w/j
y995qev7cTnd/PPfCc/CLT/68hLybsgII2iISjL6g3qHJ2OAfDJwo/gBrfTuBx//XkMg7nu0j2x+
XZE/MP0y/05B7RIUV9Svs/xkBKR3SIoDnAWmlP3Pfrn9RosAbNYHMbcfXgTI2ALRBBg/sq/0B4CU
J0PA0dyshEwp/cbu57dbBRRZ0gk7/ugQyMI7pJgRa1QgKUR/urZAwAgBHopqu8dl8NuNgNZ3BCTl
HerbgK6i0JAns79DlACu0W4PHYHY38wE0MRNr9nHu6OIUKSbYL/A0eCTIdDeIQwFXT14RfufHzgI
3mAovh6oI4f4m91RSqzs2In7vS+0Z8nzzx/PEXpY4O2A7eh8lZ6t+6d/O2v/ZQ2IByL0Yb476Z58
8D9gZJ/8Gq0tM3zlO51jO3v25cfB2XX7sS9P/zShDkA7FJ2Ot5+0fzwhVmqma5Ce7XyGx7c+NwOc
7++/pEBMPfUZVFow9O1NqHfx+MpP1tGLTYY5nkaBWG07u9MYJDDt763X8oPtZqTTIoq4erYIMqMo
ttpe7XqJAgxYrz6vj8RN7gzeB9bhwIJtitKN92n7PSJ1oDg6GAeUBvYciJuoON5nkHbTuoc+fb6g
O6HbY9A0aGBz1iQcnKgZRhIZNqPPMy7hbEM84+ApVE9BwqijYFZDGpunLmz3KcU3tzl74+rGmjEP
FiLIhQAWBdsMNCPhdIK4DVDP3g8yTESr1oMbwBwtdG7fHl2jSLsDxo38OertaCYPyhjtx+3G+on3
WloZKoNzM+gOIigbIL2hoa4Y6GKobkInhsXDTNtJrYe2pd1bDZGcxH9wMgDkBeSAOtu9B3FkpuTh
AQtwcG7ljpVSodnOYKKQQUfcBrUM8BR5qmOI0+2Vxx6zwl9vPs9Pme6N5sc/fzr1sM2tVX96LnTP
ns658uxYeeG7v+oM8m0YS7Mdd7oa4K99dxLeuFHfh3bkdxp9ZiSfbJM3NmpEeVaaYadZyi/Vt7OG
FZLOzZ0CZ3o3WqRFuCFtQ3RchwyaHTlmB5nw/MD88XG9tuLiwYe5i74MsE8HI0QaOhBa6aVt+cbJ
G1tBtE4pRHzw+vMYrMARPKw06kZkKA1N33kFCihKo44ZoxCl3s2iATgXg71LGH4do7Zlun5ePGre
OA0jM7YG91a66XheLx7Ob2x57JIHeDKdFU9Vg/uOzMQGCrZthg4DpbDr3WhSmHkEu+cPZgWuFB2b
QgE9vR+QkjztNqsKDJrNHQJVyU53KbFR3+7eYtvPTCAYOi3TIvu+Lc/Mh+4m1BhM38w5OAae++DF
N+/yjQv4+ULAlbv/AIz++I8coLK/P91GJO3sOuje929+bu2ENffTRLfHkYvZj4/FgjwcegVAzfTv
7QKObu50DhcwqjNolzzUnaUL7qX+rS7NjWmb2dpM27Z2A8ziGFmaNTjpu8vhRe/3jYt4afpm2bHB
qJxoe3/khvL2Zg8aZbCLlzhI1+vuYqD8dH1NztIsYH1J0TmkkSxg1fLhjRqlPwyajhpqf5OiuyZo
0Wvf8TgncPHbZnYrmMWRsWu1e16gFrh9zM8vtb0ZRplJlplF29yu18+DIT9u2K7/+GsRPkvUMRjk
a9xMNh0TBJqutvs/Pxo3Vr12LN/vRiEgpMug6X3c6VkMEkQNDBq3Qss2/bYhOn+7ere+a/kG4dTU
HCysKOxsFJEW1vduPAqexfdoVXrvdotNt9oDoY7+rd6iMrltZTe+tFq7d1f/+L/RAFWjKOnFeh5c
pn/8e7gm3TgtCPz7P+gW2/AglLcDxfd9gVszbA4NNNIn/Tt8B7Legw1Oy4j79hfKxh4JzcHUzLqz
KTGwpUgzkAOfHvyB/Ts9QRwGmRjStrRbfiwO2M/P7iDgimuf8vNW9DMJHsyHsmsxKCtW39nbx+5v
nu1vWkDet22DpINbOHMdI4p4ff+W3z/UVmfuwEpF+YVQNwKmJcTRj+Q0ioP71K+Lw+5TOX++SOwI
d9qugWFhtmapZYU08t4uG7pXqSJE3+W5tCpy4LxTWem+zd6YgG0NLukxb+2OoCX1iZHybpve2Rpa
9dj3SXchya3NkRwP1Gn6tz5C93YBvSO5SOQMXzqqszdeyr7mV9re0qFBzAJJFSqe9N3x2bf/6zYw
EmjfiBL+RJmUo6l3yA6+MBW7mf51MwGKPTAz9jWlT/tPz2jgNp7+acIEK2GYTgrT0I7lbqkziEGM
6jjtBgpYRCBmZmPCsKQk7vSXote+uyvfuOlP0+5VQmBxQTnNUtPq+BmoH2XS16RtZTdhFBLZdwDO
UJt7MAS04r5vs/MCZT15286utyxcrYX1YKLAsNsug9vIRXAwBiy82SsgObqBoufYkOLAD9zDW1+C
JN2YxYYM3qfm4U3kRaTGG7fDTY0kztPRhVRn++vP3xceXQPa58EkIEhbHsRfqFZI3xX3wcrygWGG
XtsUXXRAfLS//nz3P1mB1Vly0GHq3+p5NMCi+/sMpF9db1JmYddmwAuEg5viYUMAsyLrzlYEVyML
s4yYw8PgNHuGQwEPHOwdODF6z+n7h2KwLLLOinxsncGy/J/Xk5vJ9f1k/L8GdPFYKQbscP0DM0SV
yCgyXARQCVzkr1qbY4f1C0c4Q0jNV2f1v4UL8j4tHrozy2DBwDmyC3N30zHM9AGRhLbRnTlof/l5
YwAoDpg5u2AcSrfd13zR3pqbLhJiR5JB3b365/tLU9Fw9szAxD1l38ndSDDYPyOzhgU7ZgGotkXf
ARkdrA4Webcx9AnCAzAvi4BY2+5xoInCYHkg7nAYzmBhYGeFuUE0oOhGpFlkhk7g/nWCYtC66b8o
zrCOD+YPhE79212aKQ3AHqYLWUCRKJFiRrMsnSNYYOGYXKJWL48G1weBI5GFA7EPHM1Jnmc7a3pu
bUnXglBlzr6bfP+URbE+8DqZWL4UM7oxN7vu30YPQFW3Hd5bQAbb8hbphv34jLAuo+yYMYQaQvvc
nzfj+4G6J+EaQ757Iwot3FsFAK66M8MCrGHQnH/mDO5JapOjRh6eUf/3urt58QkMTikjCs0DpBAY
y/v3fATw/NrsLimVgYm7MbtekUh593vvMxoFnqDiAnmmbnwGNL0Mmt9FmeHC5M4ff/WtoG6bpBsN
7Nftrz3WP32BpYkndK9itFyLmR3anwKDf5giKLS2/rHtNX2JIRD1r4ZFfp3nv6sf6uv1/4Zo+i82
oIm4wXajMwx22fvGgr9N3G7DDLbC+xTBgu5pxmB9Iq5h+3DVMufpoqTlkH0tw7I2w6AbpqJ1oX2b
BV/r4aQxMGPgCg+7qVaqdNO3r8C2P0Sb7pyxwCLcpGSwQECqcwVlAftEkqdbtsEC3HCCMoUByOzs
wc3763ZQqemD/Gb768/b79NwA4jRAUJFoDpWfWcPLXenDsz2/Vs9M+OuaRBYBELnNWgCm0NzttN0
7TsM+1LNeXSAkof8Z//B2MMyjrTNYGHMkdvxnOdDwmBfL8yDcAqLiiEwm5rRsy0iMxhlXBRR5XWw
llnAiwBi3pBt944gsAhKUHR0fbinWbhj51bcBTtCE6D/Mr404bFb/rE7mkDV2/puwUvTe+aqgLyW
QcOgCyBx/Oye92JZ6VszPiS0zRhmo+3m7m7MIqJ565jkMLchsvAtbk2XPB9pYK7aV/j5Y+rWJAAe
t+3shoKFh0HDBNQtPDRzIguLdNc8WEeGg0UM9p5YeWgGnfFgYeoukJOKtoPTHFWd8eAvgwmKx6K8
eNyZTx8HhWYWcabHB86L0MwcAAH/Mmj/lxx7qCqxiArfxAj6+fUxe4Oqdxa+z5JsNuC/n5hZ/nTQ
9jiU79uz7I224XHUbhwCfUdE+v8y+Pq/+7Tf04cChYSiegahrt2pYmKCUuL////9b5ln1iYiXTXQ
fOjBCQrgEAM+NqjAgYG6/dVb+usp9luColQOxVXdiiJoKkHshoFzeWPhUuC1yz37y5iYUY37Ehlc
oci5G1OibGUgMm9H+udNG0QsNhEG8Nb0cI0kQedWokN5AOQI/Z8yNwuSkk4OXgDXDqSAGPiKl5AR
JdzaISaXZUXb2f0dZfcMBnN/g5v2kZaZuKNx7hy4NfuhefXg+oWBpR24sm9k6Wn/6Qr+r4G0WT5p
um4MgzUHDYncpCmWzn5h4ZZP/MGN6W+R9E2fLjgWsWmk9XILxTedPj/nLCp+GHyEIMGGksY87TB2
Xvvrz1uncwxwaiJ13za129Uv4nrfeIhdAgfeNXaC/mr4/+mCnTwCLv9WGA7K2tR3w/2GoVwfyL3u
5ZbBsnmPsBJSq08XzavG9PXzf0dN1e2rwMCUGJZvk6LrTQtt139+60DCDQO7ywmeWGlj2dH2IDxI
lW37Xm7RefMA2ssir2kUvg1eo84MDhl0d2zRqHbHD2EB2jtNMQxduB6LkuJJBq287iBQdca+czZq
LOostQ1Rk8oi2zclzypgqMBj395OzTSyjvn1L9J0vfEU2Kf02k7SkaA8mn27PCMPKEo5QPmyiPjM
gOwIM6uTR3391Hrdss2sFJCtbrMsxgFVUeuO60W1mvqOLpQrkK7uLF+U0vVv96RAyCvtDALVGu3d
31MEFw+MA4h0GbSbm363tyzgMWdWerDAwIvav7NniBOAjaObpRdYnEALM98erAYWWboFyZ3i0DUR
WBCB3fjRFiHh7gJmQf61ILDrAEIgPnFQwsMiEbgoKgsJ0SLt3oNZxBOXkb/BmLSrbOfjy68646+b
NaROzIPiSZmBoUAkKu92lkVY8DvsjQKLImdkAUuzaytYHM2QXz40bCzQp5egly0OaC0EFsW01wgR
HvhTIDxvl93Pu9p0Rx+iOwC9YdDwzmoCsNjFk7G4ddzEB3V+Oxr5vmfzzdbEha4r6yiKLIa4tDbd
w0NkUeZ2U5IckJ/DZSyyOPLuPFpK2XF/QJ/bf1E8lk3NkaHbRN1rIwsUyT1lj8S6G6G+oO0stcgi
E+IsoJ4pZ80x8fieFQ03QG51D1WRBRcgMhoWpexcdvN/rZJwz07v4RkAD1jAwXR736qh9nzCPMqi
bcd86NAzVlhQ+f3xf+i+OXY1U6WhoEE1BXQXGurWoJP8qh/960Jr4o5c/E8YWgOuF9fQg1XF4FTC
ov0S+d7jxD+1EQp0uUGLANVqrDFNAxv8qwGAXzfve+L3P+G8pzY9xrtQQBZpZQMwpIOrFouacCM1
my79DguKrRHAMZ2zl0UGeBT50SF9Kwvgw2SNgqtuvocFy8sU1WFrh3LvHhC5srhTTE3f+679f9Xc
v355mxWAIHevWUyATcAPIPPTWRoCi1AihZEhUdXxmQRNbs3jz98uLq20aFvZXY1fN6qvj+5dWhx2
VmSxQ+7h3TVgEupMHLQH2hf43jD8umPgmFLHn/BQ2BMkoZTdDKLO5LAIRRqIHx/WVLO49FFzGx2t
MhsyaH4U0dK8f5hbQAiE9j8ec2RZlMztfHzKIoA6ImqIjz2HRbRrFEWtT9ZJxLMIeU2JS9otTG0Q
C9ztFDd6yvnRkoPtbllknT4vCHiRZ+vNmZ7dWYiQVf2s4IAFnuDxrN1h4ulk05vR+5aritZ7bDqT
wuJgAJyjc/1nQSNzYiF687hCd++wXI8RRfXbv3VeQmDBLTMHMOwBMYeny0tgwX06clIga0FwcOSi
IrBIJp9b5WBk+keu7iyytOfkgKSaRTTj3gyBAeq6EywKSc9BBt5tlcWepQP82QJeqZtaR2ihXSzf
cyded4AuSb5GAfDRwwUCVwweYMZgHKGvcETygA3s0T+k7mbgbeKQygBHPF4OwQIrti9ZP7F8MFf8
0+B9hsr1DFThO2NzS3csYo+A9I6K0On4KdAd6z8pt5EH37SzUiHtyKJd5I7bZnbRUhYFVrcFwukH
nWWwMj9gesmenmBa5MC+dzrOglDlmZMpsgARj2i1C6W2aDft037LqMRWVQidQaMT0ENJZpHgegy1
3+wE6gZL5GHSwUUB8D78xaNunEoB0zyooTREwahm7u988TkiHtj34vP0Gkdt88uI3qffntA4d6v1
yZD86pi635/vLY/pM/5t33J/4tKo21cF27YDL9EWzqwIRCIdC8Si5u66yA4KEEUWFRq3f/w/8MjX
1lPDA6Ls9tfveSPH1vnfBjZ8TEiznZbdXD1uUszet9QvFICLbxDwZ+qKT9/mN9njR4Q1/3xveUzH
8zd7y6dL44hBfzwN1j4umf/ynwAAAP//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hart" Target="../charts/chart3.xml"/><Relationship Id="rId18" Type="http://schemas.microsoft.com/office/2014/relationships/chartEx" Target="../charts/chartEx1.xml"/><Relationship Id="rId3" Type="http://schemas.openxmlformats.org/officeDocument/2006/relationships/hyperlink" Target="#'Donn&#233;es trait&#233;s'!A1"/><Relationship Id="rId7" Type="http://schemas.openxmlformats.org/officeDocument/2006/relationships/hyperlink" Target="#'Contacts mails'!A1"/><Relationship Id="rId12" Type="http://schemas.openxmlformats.org/officeDocument/2006/relationships/chart" Target="../charts/chart2.xml"/><Relationship Id="rId17" Type="http://schemas.openxmlformats.org/officeDocument/2006/relationships/chart" Target="../charts/chart7.xml"/><Relationship Id="rId2" Type="http://schemas.openxmlformats.org/officeDocument/2006/relationships/image" Target="../media/image1.png"/><Relationship Id="rId16" Type="http://schemas.openxmlformats.org/officeDocument/2006/relationships/chart" Target="../charts/chart6.xml"/><Relationship Id="rId1" Type="http://schemas.openxmlformats.org/officeDocument/2006/relationships/hyperlink" Target="http://www.google.com" TargetMode="External"/><Relationship Id="rId6" Type="http://schemas.openxmlformats.org/officeDocument/2006/relationships/image" Target="../media/image3.png"/><Relationship Id="rId11" Type="http://schemas.openxmlformats.org/officeDocument/2006/relationships/chart" Target="../charts/chart1.xml"/><Relationship Id="rId5" Type="http://schemas.openxmlformats.org/officeDocument/2006/relationships/hyperlink" Target="#'Tableau bord'!A1"/><Relationship Id="rId15" Type="http://schemas.openxmlformats.org/officeDocument/2006/relationships/chart" Target="../charts/chart5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#'&#128274;BD'!A1"/><Relationship Id="rId1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Contacts mails'!A1"/><Relationship Id="rId3" Type="http://schemas.openxmlformats.org/officeDocument/2006/relationships/hyperlink" Target="http://www.google.com" TargetMode="External"/><Relationship Id="rId7" Type="http://schemas.openxmlformats.org/officeDocument/2006/relationships/image" Target="../media/image3.png"/><Relationship Id="rId2" Type="http://schemas.openxmlformats.org/officeDocument/2006/relationships/image" Target="../media/image1.png"/><Relationship Id="rId1" Type="http://schemas.openxmlformats.org/officeDocument/2006/relationships/hyperlink" Target="https://exceler.fr/" TargetMode="External"/><Relationship Id="rId6" Type="http://schemas.openxmlformats.org/officeDocument/2006/relationships/hyperlink" Target="#'Tableau bord'!A1"/><Relationship Id="rId11" Type="http://schemas.openxmlformats.org/officeDocument/2006/relationships/image" Target="../media/image5.png"/><Relationship Id="rId5" Type="http://schemas.openxmlformats.org/officeDocument/2006/relationships/image" Target="../media/image2.png"/><Relationship Id="rId10" Type="http://schemas.openxmlformats.org/officeDocument/2006/relationships/hyperlink" Target="#'&#128274;BD'!A1"/><Relationship Id="rId4" Type="http://schemas.openxmlformats.org/officeDocument/2006/relationships/hyperlink" Target="#'Donn&#233;es trait&#233;s'!A1"/><Relationship Id="rId9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#'Donn&#233;es trait&#233;s'!A1"/><Relationship Id="rId7" Type="http://schemas.openxmlformats.org/officeDocument/2006/relationships/hyperlink" Target="#'Contacts mails'!A1"/><Relationship Id="rId2" Type="http://schemas.openxmlformats.org/officeDocument/2006/relationships/image" Target="../media/image1.png"/><Relationship Id="rId1" Type="http://schemas.openxmlformats.org/officeDocument/2006/relationships/hyperlink" Target="http://www.google.com" TargetMode="External"/><Relationship Id="rId6" Type="http://schemas.openxmlformats.org/officeDocument/2006/relationships/image" Target="../media/image3.png"/><Relationship Id="rId5" Type="http://schemas.openxmlformats.org/officeDocument/2006/relationships/hyperlink" Target="#'Tableau bord'!A1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#'&#128274;BD'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#'Donn&#233;es trait&#233;s'!A1"/><Relationship Id="rId7" Type="http://schemas.openxmlformats.org/officeDocument/2006/relationships/hyperlink" Target="#'Contacts mails'!A1"/><Relationship Id="rId2" Type="http://schemas.openxmlformats.org/officeDocument/2006/relationships/image" Target="../media/image1.png"/><Relationship Id="rId1" Type="http://schemas.openxmlformats.org/officeDocument/2006/relationships/hyperlink" Target="http://www.google.com" TargetMode="External"/><Relationship Id="rId6" Type="http://schemas.openxmlformats.org/officeDocument/2006/relationships/image" Target="../media/image3.png"/><Relationship Id="rId5" Type="http://schemas.openxmlformats.org/officeDocument/2006/relationships/hyperlink" Target="#'Tableau bord'!A1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#'&#128274;BD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28577</xdr:rowOff>
    </xdr:from>
    <xdr:to>
      <xdr:col>0</xdr:col>
      <xdr:colOff>685800</xdr:colOff>
      <xdr:row>0</xdr:row>
      <xdr:rowOff>600079</xdr:rowOff>
    </xdr:to>
    <xdr:sp macro="" textlink="">
      <xdr:nvSpPr>
        <xdr:cNvPr id="2" name="Rectangle : avec coins arrondis en haut 1">
          <a:extLst>
            <a:ext uri="{FF2B5EF4-FFF2-40B4-BE49-F238E27FC236}">
              <a16:creationId xmlns:a16="http://schemas.microsoft.com/office/drawing/2014/main" id="{2D134680-6B76-EB47-6D61-4C93A7803767}"/>
            </a:ext>
          </a:extLst>
        </xdr:cNvPr>
        <xdr:cNvSpPr/>
      </xdr:nvSpPr>
      <xdr:spPr>
        <a:xfrm rot="5400000">
          <a:off x="57149" y="-28572"/>
          <a:ext cx="571502" cy="685800"/>
        </a:xfrm>
        <a:prstGeom prst="round2SameRect">
          <a:avLst>
            <a:gd name="adj1" fmla="val 50000"/>
            <a:gd name="adj2" fmla="val 0"/>
          </a:avLst>
        </a:prstGeom>
        <a:solidFill>
          <a:srgbClr val="F2F5F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oneCell">
    <xdr:from>
      <xdr:col>0</xdr:col>
      <xdr:colOff>112569</xdr:colOff>
      <xdr:row>0</xdr:row>
      <xdr:rowOff>35893</xdr:rowOff>
    </xdr:from>
    <xdr:to>
      <xdr:col>0</xdr:col>
      <xdr:colOff>665727</xdr:colOff>
      <xdr:row>0</xdr:row>
      <xdr:rowOff>601776</xdr:rowOff>
    </xdr:to>
    <xdr:pic>
      <xdr:nvPicPr>
        <xdr:cNvPr id="13" name="Image 12" descr="Une image contenant balle, Caractère coloré, sphère&#10;&#10;Description générée automatiqueme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40631B-8C43-967E-B865-91112D41D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569" y="35893"/>
          <a:ext cx="553158" cy="565883"/>
        </a:xfrm>
        <a:prstGeom prst="rect">
          <a:avLst/>
        </a:prstGeom>
      </xdr:spPr>
    </xdr:pic>
    <xdr:clientData/>
  </xdr:twoCellAnchor>
  <xdr:twoCellAnchor editAs="oneCell">
    <xdr:from>
      <xdr:col>3</xdr:col>
      <xdr:colOff>705716</xdr:colOff>
      <xdr:row>0</xdr:row>
      <xdr:rowOff>110836</xdr:rowOff>
    </xdr:from>
    <xdr:to>
      <xdr:col>6</xdr:col>
      <xdr:colOff>688398</xdr:colOff>
      <xdr:row>0</xdr:row>
      <xdr:rowOff>577561</xdr:rowOff>
    </xdr:to>
    <xdr:grpSp>
      <xdr:nvGrpSpPr>
        <xdr:cNvPr id="20" name="Groupe 1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CAFC21F-349F-EEAC-C0B7-CF2338DDCFCF}"/>
            </a:ext>
          </a:extLst>
        </xdr:cNvPr>
        <xdr:cNvGrpSpPr/>
      </xdr:nvGrpSpPr>
      <xdr:grpSpPr>
        <a:xfrm>
          <a:off x="3072398" y="110836"/>
          <a:ext cx="2349365" cy="466725"/>
          <a:chOff x="2991716" y="110836"/>
          <a:chExt cx="2268682" cy="466725"/>
        </a:xfrm>
      </xdr:grpSpPr>
      <xdr:sp macro="" textlink="">
        <xdr:nvSpPr>
          <xdr:cNvPr id="6" name="Rectangle : coins arrondis 5">
            <a:extLst>
              <a:ext uri="{FF2B5EF4-FFF2-40B4-BE49-F238E27FC236}">
                <a16:creationId xmlns:a16="http://schemas.microsoft.com/office/drawing/2014/main" id="{87DE7257-F614-437B-B838-F6D03753B89B}"/>
              </a:ext>
            </a:extLst>
          </xdr:cNvPr>
          <xdr:cNvSpPr/>
        </xdr:nvSpPr>
        <xdr:spPr>
          <a:xfrm>
            <a:off x="2991716" y="110836"/>
            <a:ext cx="2268682" cy="466725"/>
          </a:xfrm>
          <a:prstGeom prst="roundRect">
            <a:avLst>
              <a:gd name="adj" fmla="val 50000"/>
            </a:avLst>
          </a:prstGeom>
          <a:solidFill>
            <a:srgbClr val="8CA999"/>
          </a:solidFill>
          <a:ln>
            <a:solidFill>
              <a:srgbClr val="F2F5F7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fr-FR" sz="1800" b="1">
                <a:solidFill>
                  <a:srgbClr val="268373"/>
                </a:solidFill>
              </a:rPr>
              <a:t>Données traitées</a:t>
            </a:r>
          </a:p>
        </xdr:txBody>
      </xdr:sp>
      <xdr:sp macro="" textlink="">
        <xdr:nvSpPr>
          <xdr:cNvPr id="7" name="Ellipse 6">
            <a:extLst>
              <a:ext uri="{FF2B5EF4-FFF2-40B4-BE49-F238E27FC236}">
                <a16:creationId xmlns:a16="http://schemas.microsoft.com/office/drawing/2014/main" id="{21690776-AD01-44C5-ACFC-F9952F6DFF7C}"/>
              </a:ext>
            </a:extLst>
          </xdr:cNvPr>
          <xdr:cNvSpPr/>
        </xdr:nvSpPr>
        <xdr:spPr>
          <a:xfrm>
            <a:off x="3051464" y="160193"/>
            <a:ext cx="374073" cy="374073"/>
          </a:xfrm>
          <a:prstGeom prst="ellipse">
            <a:avLst/>
          </a:prstGeom>
          <a:solidFill>
            <a:srgbClr val="F2F5F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pic>
        <xdr:nvPicPr>
          <xdr:cNvPr id="15" name="Image 14" descr="Une image contenant jouet&#10;&#10;Description générée automatiquement">
            <a:extLst>
              <a:ext uri="{FF2B5EF4-FFF2-40B4-BE49-F238E27FC236}">
                <a16:creationId xmlns:a16="http://schemas.microsoft.com/office/drawing/2014/main" id="{2C60212F-C15E-9064-AA92-51C2695736F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4125" t="36700" r="36908" b="36027"/>
          <a:stretch/>
        </xdr:blipFill>
        <xdr:spPr>
          <a:xfrm>
            <a:off x="3052330" y="181841"/>
            <a:ext cx="324555" cy="298740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228600</xdr:colOff>
      <xdr:row>0</xdr:row>
      <xdr:rowOff>114300</xdr:rowOff>
    </xdr:from>
    <xdr:to>
      <xdr:col>3</xdr:col>
      <xdr:colOff>619125</xdr:colOff>
      <xdr:row>0</xdr:row>
      <xdr:rowOff>581025</xdr:rowOff>
    </xdr:to>
    <xdr:grpSp>
      <xdr:nvGrpSpPr>
        <xdr:cNvPr id="19" name="Groupe 1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BD1547E-79B3-80D3-51DF-9927705B4629}"/>
            </a:ext>
          </a:extLst>
        </xdr:cNvPr>
        <xdr:cNvGrpSpPr/>
      </xdr:nvGrpSpPr>
      <xdr:grpSpPr>
        <a:xfrm>
          <a:off x="1017494" y="114300"/>
          <a:ext cx="1968313" cy="466725"/>
          <a:chOff x="990600" y="114300"/>
          <a:chExt cx="1914525" cy="466725"/>
        </a:xfrm>
      </xdr:grpSpPr>
      <xdr:sp macro="" textlink="">
        <xdr:nvSpPr>
          <xdr:cNvPr id="4" name="Rectangle : coins arrondis 3">
            <a:extLst>
              <a:ext uri="{FF2B5EF4-FFF2-40B4-BE49-F238E27FC236}">
                <a16:creationId xmlns:a16="http://schemas.microsoft.com/office/drawing/2014/main" id="{9B050A9F-12FB-AED5-D48B-1006786645FD}"/>
              </a:ext>
            </a:extLst>
          </xdr:cNvPr>
          <xdr:cNvSpPr/>
        </xdr:nvSpPr>
        <xdr:spPr>
          <a:xfrm>
            <a:off x="990600" y="114300"/>
            <a:ext cx="1914525" cy="466725"/>
          </a:xfrm>
          <a:prstGeom prst="roundRect">
            <a:avLst>
              <a:gd name="adj" fmla="val 50000"/>
            </a:avLst>
          </a:prstGeom>
          <a:solidFill>
            <a:srgbClr val="8CA999"/>
          </a:solidFill>
          <a:ln>
            <a:solidFill>
              <a:srgbClr val="F2F5F7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fr-FR" sz="1800" b="1">
                <a:solidFill>
                  <a:srgbClr val="268373"/>
                </a:solidFill>
              </a:rPr>
              <a:t>Tableau bord</a:t>
            </a:r>
          </a:p>
        </xdr:txBody>
      </xdr:sp>
      <xdr:sp macro="" textlink="">
        <xdr:nvSpPr>
          <xdr:cNvPr id="5" name="Ellipse 4">
            <a:extLst>
              <a:ext uri="{FF2B5EF4-FFF2-40B4-BE49-F238E27FC236}">
                <a16:creationId xmlns:a16="http://schemas.microsoft.com/office/drawing/2014/main" id="{A21839AD-4759-0F7A-0F68-E68EE19099E7}"/>
              </a:ext>
            </a:extLst>
          </xdr:cNvPr>
          <xdr:cNvSpPr/>
        </xdr:nvSpPr>
        <xdr:spPr>
          <a:xfrm>
            <a:off x="1050348" y="163657"/>
            <a:ext cx="374073" cy="374073"/>
          </a:xfrm>
          <a:prstGeom prst="ellipse">
            <a:avLst/>
          </a:prstGeom>
          <a:solidFill>
            <a:srgbClr val="F2F5F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pic>
        <xdr:nvPicPr>
          <xdr:cNvPr id="16" name="Image 15" descr="Une image contenant jouet&#10;&#10;Description générée automatiquement">
            <a:extLst>
              <a:ext uri="{FF2B5EF4-FFF2-40B4-BE49-F238E27FC236}">
                <a16:creationId xmlns:a16="http://schemas.microsoft.com/office/drawing/2014/main" id="{A9E278A0-6BB8-4341-9433-5BE00892CAF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0028" t="66263" r="72526" b="8148"/>
          <a:stretch/>
        </xdr:blipFill>
        <xdr:spPr>
          <a:xfrm>
            <a:off x="1130011" y="181841"/>
            <a:ext cx="229466" cy="329045"/>
          </a:xfrm>
          <a:prstGeom prst="rect">
            <a:avLst/>
          </a:prstGeom>
        </xdr:spPr>
      </xdr:pic>
    </xdr:grpSp>
    <xdr:clientData/>
  </xdr:twoCellAnchor>
  <xdr:twoCellAnchor editAs="oneCell">
    <xdr:from>
      <xdr:col>7</xdr:col>
      <xdr:colOff>18183</xdr:colOff>
      <xdr:row>0</xdr:row>
      <xdr:rowOff>98713</xdr:rowOff>
    </xdr:from>
    <xdr:to>
      <xdr:col>9</xdr:col>
      <xdr:colOff>408708</xdr:colOff>
      <xdr:row>0</xdr:row>
      <xdr:rowOff>565438</xdr:rowOff>
    </xdr:to>
    <xdr:grpSp>
      <xdr:nvGrpSpPr>
        <xdr:cNvPr id="21" name="Groupe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6EB071F-6FA3-A931-015C-B7DD494D1045}"/>
            </a:ext>
          </a:extLst>
        </xdr:cNvPr>
        <xdr:cNvGrpSpPr/>
      </xdr:nvGrpSpPr>
      <xdr:grpSpPr>
        <a:xfrm>
          <a:off x="5540442" y="98713"/>
          <a:ext cx="1968313" cy="466725"/>
          <a:chOff x="5352183" y="98713"/>
          <a:chExt cx="1914525" cy="466725"/>
        </a:xfrm>
      </xdr:grpSpPr>
      <xdr:sp macro="" textlink="">
        <xdr:nvSpPr>
          <xdr:cNvPr id="8" name="Rectangle : coins arrondis 7">
            <a:extLst>
              <a:ext uri="{FF2B5EF4-FFF2-40B4-BE49-F238E27FC236}">
                <a16:creationId xmlns:a16="http://schemas.microsoft.com/office/drawing/2014/main" id="{3B485F6C-B919-4DE6-BF38-4CC9DEC20132}"/>
              </a:ext>
            </a:extLst>
          </xdr:cNvPr>
          <xdr:cNvSpPr/>
        </xdr:nvSpPr>
        <xdr:spPr>
          <a:xfrm>
            <a:off x="5352183" y="98713"/>
            <a:ext cx="1914525" cy="466725"/>
          </a:xfrm>
          <a:prstGeom prst="roundRect">
            <a:avLst>
              <a:gd name="adj" fmla="val 50000"/>
            </a:avLst>
          </a:prstGeom>
          <a:solidFill>
            <a:srgbClr val="8CA999"/>
          </a:solidFill>
          <a:ln>
            <a:solidFill>
              <a:srgbClr val="F2F5F7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fr-FR" sz="1800" b="1">
                <a:solidFill>
                  <a:srgbClr val="268373"/>
                </a:solidFill>
              </a:rPr>
              <a:t>Contats mail</a:t>
            </a:r>
          </a:p>
        </xdr:txBody>
      </xdr:sp>
      <xdr:sp macro="" textlink="">
        <xdr:nvSpPr>
          <xdr:cNvPr id="9" name="Ellipse 8">
            <a:extLst>
              <a:ext uri="{FF2B5EF4-FFF2-40B4-BE49-F238E27FC236}">
                <a16:creationId xmlns:a16="http://schemas.microsoft.com/office/drawing/2014/main" id="{3E0C96E0-E3AC-4065-8C2D-4A3B13BF2AA4}"/>
              </a:ext>
            </a:extLst>
          </xdr:cNvPr>
          <xdr:cNvSpPr/>
        </xdr:nvSpPr>
        <xdr:spPr>
          <a:xfrm>
            <a:off x="5411931" y="148070"/>
            <a:ext cx="374073" cy="374073"/>
          </a:xfrm>
          <a:prstGeom prst="ellipse">
            <a:avLst/>
          </a:prstGeom>
          <a:solidFill>
            <a:srgbClr val="F2F5F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pic>
        <xdr:nvPicPr>
          <xdr:cNvPr id="17" name="Image 16" descr="Une image contenant jouet&#10;&#10;Description générée automatiquement">
            <a:extLst>
              <a:ext uri="{FF2B5EF4-FFF2-40B4-BE49-F238E27FC236}">
                <a16:creationId xmlns:a16="http://schemas.microsoft.com/office/drawing/2014/main" id="{29E39BC8-6E01-4C80-BDB3-E80CC569944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7899" t="71246" r="4279" b="7744"/>
          <a:stretch/>
        </xdr:blipFill>
        <xdr:spPr>
          <a:xfrm>
            <a:off x="5424920" y="203489"/>
            <a:ext cx="365937" cy="270163"/>
          </a:xfrm>
          <a:prstGeom prst="rect">
            <a:avLst/>
          </a:prstGeom>
        </xdr:spPr>
      </xdr:pic>
    </xdr:grpSp>
    <xdr:clientData/>
  </xdr:twoCellAnchor>
  <xdr:twoCellAnchor editAs="oneCell">
    <xdr:from>
      <xdr:col>9</xdr:col>
      <xdr:colOff>521278</xdr:colOff>
      <xdr:row>0</xdr:row>
      <xdr:rowOff>82261</xdr:rowOff>
    </xdr:from>
    <xdr:to>
      <xdr:col>12</xdr:col>
      <xdr:colOff>199159</xdr:colOff>
      <xdr:row>0</xdr:row>
      <xdr:rowOff>548986</xdr:rowOff>
    </xdr:to>
    <xdr:grpSp>
      <xdr:nvGrpSpPr>
        <xdr:cNvPr id="22" name="Groupe 2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C2925A7-3900-2BCC-B831-F54D9CA3FCEC}"/>
            </a:ext>
          </a:extLst>
        </xdr:cNvPr>
        <xdr:cNvGrpSpPr/>
      </xdr:nvGrpSpPr>
      <xdr:grpSpPr>
        <a:xfrm>
          <a:off x="7621325" y="82261"/>
          <a:ext cx="2044563" cy="466725"/>
          <a:chOff x="7379278" y="82261"/>
          <a:chExt cx="1963881" cy="466725"/>
        </a:xfrm>
      </xdr:grpSpPr>
      <xdr:sp macro="" textlink="">
        <xdr:nvSpPr>
          <xdr:cNvPr id="10" name="Rectangle : coins arrondis 9">
            <a:extLst>
              <a:ext uri="{FF2B5EF4-FFF2-40B4-BE49-F238E27FC236}">
                <a16:creationId xmlns:a16="http://schemas.microsoft.com/office/drawing/2014/main" id="{97E5AE72-C15E-4F12-B49A-7E2A73C0780C}"/>
              </a:ext>
            </a:extLst>
          </xdr:cNvPr>
          <xdr:cNvSpPr/>
        </xdr:nvSpPr>
        <xdr:spPr>
          <a:xfrm>
            <a:off x="7379278" y="82261"/>
            <a:ext cx="1963881" cy="466725"/>
          </a:xfrm>
          <a:prstGeom prst="roundRect">
            <a:avLst>
              <a:gd name="adj" fmla="val 50000"/>
            </a:avLst>
          </a:prstGeom>
          <a:solidFill>
            <a:srgbClr val="268373"/>
          </a:solidFill>
          <a:ln>
            <a:solidFill>
              <a:srgbClr val="F2F5F7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fr-FR" sz="1800" b="1">
                <a:solidFill>
                  <a:srgbClr val="F2F5F7"/>
                </a:solidFill>
              </a:rPr>
              <a:t>Base</a:t>
            </a:r>
            <a:r>
              <a:rPr lang="fr-FR" sz="1800" b="1" baseline="0">
                <a:solidFill>
                  <a:srgbClr val="F2F5F7"/>
                </a:solidFill>
              </a:rPr>
              <a:t> données</a:t>
            </a:r>
            <a:endParaRPr lang="fr-FR" sz="1800" b="1">
              <a:solidFill>
                <a:srgbClr val="F2F5F7"/>
              </a:solidFill>
            </a:endParaRPr>
          </a:p>
        </xdr:txBody>
      </xdr:sp>
      <xdr:sp macro="" textlink="">
        <xdr:nvSpPr>
          <xdr:cNvPr id="11" name="Ellipse 10">
            <a:extLst>
              <a:ext uri="{FF2B5EF4-FFF2-40B4-BE49-F238E27FC236}">
                <a16:creationId xmlns:a16="http://schemas.microsoft.com/office/drawing/2014/main" id="{DB12558B-DBEB-45E6-BEE3-0BE1189DC997}"/>
              </a:ext>
            </a:extLst>
          </xdr:cNvPr>
          <xdr:cNvSpPr/>
        </xdr:nvSpPr>
        <xdr:spPr>
          <a:xfrm>
            <a:off x="7439026" y="131618"/>
            <a:ext cx="374073" cy="374073"/>
          </a:xfrm>
          <a:prstGeom prst="ellipse">
            <a:avLst/>
          </a:prstGeom>
          <a:solidFill>
            <a:srgbClr val="F2F5F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pic>
        <xdr:nvPicPr>
          <xdr:cNvPr id="18" name="Image 17" descr="Une image contenant jouet&#10;&#10;Description générée automatiquement">
            <a:extLst>
              <a:ext uri="{FF2B5EF4-FFF2-40B4-BE49-F238E27FC236}">
                <a16:creationId xmlns:a16="http://schemas.microsoft.com/office/drawing/2014/main" id="{63ED80BF-1D86-4598-9631-4A1572EC51B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70137" t="7879" r="12088" b="66869"/>
          <a:stretch/>
        </xdr:blipFill>
        <xdr:spPr>
          <a:xfrm>
            <a:off x="7507432" y="164524"/>
            <a:ext cx="221325" cy="307397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47624</xdr:colOff>
      <xdr:row>1</xdr:row>
      <xdr:rowOff>66675</xdr:rowOff>
    </xdr:from>
    <xdr:to>
      <xdr:col>20</xdr:col>
      <xdr:colOff>638175</xdr:colOff>
      <xdr:row>51</xdr:row>
      <xdr:rowOff>85725</xdr:rowOff>
    </xdr:to>
    <xdr:sp macro="" textlink="">
      <xdr:nvSpPr>
        <xdr:cNvPr id="23" name="Rectangle : coins arrondis 22">
          <a:extLst>
            <a:ext uri="{FF2B5EF4-FFF2-40B4-BE49-F238E27FC236}">
              <a16:creationId xmlns:a16="http://schemas.microsoft.com/office/drawing/2014/main" id="{5A5DB41A-E64C-4830-AF1C-994AB15101C3}"/>
            </a:ext>
          </a:extLst>
        </xdr:cNvPr>
        <xdr:cNvSpPr/>
      </xdr:nvSpPr>
      <xdr:spPr>
        <a:xfrm>
          <a:off x="1571624" y="695325"/>
          <a:ext cx="14306551" cy="9544050"/>
        </a:xfrm>
        <a:prstGeom prst="roundRect">
          <a:avLst>
            <a:gd name="adj" fmla="val 3793"/>
          </a:avLst>
        </a:prstGeom>
        <a:noFill/>
        <a:ln w="19050">
          <a:solidFill>
            <a:srgbClr val="8CA99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142875</xdr:colOff>
      <xdr:row>1</xdr:row>
      <xdr:rowOff>133350</xdr:rowOff>
    </xdr:from>
    <xdr:to>
      <xdr:col>20</xdr:col>
      <xdr:colOff>552451</xdr:colOff>
      <xdr:row>4</xdr:row>
      <xdr:rowOff>180976</xdr:rowOff>
    </xdr:to>
    <xdr:sp macro="" textlink="">
      <xdr:nvSpPr>
        <xdr:cNvPr id="24" name="Rectangle : coins arrondis 23">
          <a:extLst>
            <a:ext uri="{FF2B5EF4-FFF2-40B4-BE49-F238E27FC236}">
              <a16:creationId xmlns:a16="http://schemas.microsoft.com/office/drawing/2014/main" id="{4534F536-5938-4D86-B26A-066AA11E07A9}"/>
            </a:ext>
          </a:extLst>
        </xdr:cNvPr>
        <xdr:cNvSpPr/>
      </xdr:nvSpPr>
      <xdr:spPr>
        <a:xfrm>
          <a:off x="1666875" y="762000"/>
          <a:ext cx="14125576" cy="619126"/>
        </a:xfrm>
        <a:prstGeom prst="roundRect">
          <a:avLst>
            <a:gd name="adj" fmla="val 50000"/>
          </a:avLst>
        </a:prstGeom>
        <a:solidFill>
          <a:srgbClr val="F2F5F7"/>
        </a:solidFill>
        <a:ln w="19050"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fr-FR" sz="3600" b="1">
              <a:solidFill>
                <a:srgbClr val="268373"/>
              </a:solidFill>
            </a:rPr>
            <a:t>Tableau de bord : ventes 2023 - Europe Ouest</a:t>
          </a:r>
        </a:p>
      </xdr:txBody>
    </xdr:sp>
    <xdr:clientData/>
  </xdr:twoCellAnchor>
  <xdr:twoCellAnchor>
    <xdr:from>
      <xdr:col>2</xdr:col>
      <xdr:colOff>161925</xdr:colOff>
      <xdr:row>13</xdr:row>
      <xdr:rowOff>9525</xdr:rowOff>
    </xdr:from>
    <xdr:to>
      <xdr:col>14</xdr:col>
      <xdr:colOff>142875</xdr:colOff>
      <xdr:row>36</xdr:row>
      <xdr:rowOff>9525</xdr:rowOff>
    </xdr:to>
    <xdr:sp macro="" textlink="">
      <xdr:nvSpPr>
        <xdr:cNvPr id="25" name="Rectangle : coins arrondis 24">
          <a:extLst>
            <a:ext uri="{FF2B5EF4-FFF2-40B4-BE49-F238E27FC236}">
              <a16:creationId xmlns:a16="http://schemas.microsoft.com/office/drawing/2014/main" id="{1D3EAFBC-0F27-4C4A-9B22-AE07743C3FE1}"/>
            </a:ext>
          </a:extLst>
        </xdr:cNvPr>
        <xdr:cNvSpPr/>
      </xdr:nvSpPr>
      <xdr:spPr>
        <a:xfrm>
          <a:off x="1685925" y="2924175"/>
          <a:ext cx="9124950" cy="4381500"/>
        </a:xfrm>
        <a:prstGeom prst="roundRect">
          <a:avLst>
            <a:gd name="adj" fmla="val 4293"/>
          </a:avLst>
        </a:prstGeom>
        <a:solidFill>
          <a:srgbClr val="F2F5F7"/>
        </a:solidFill>
        <a:ln w="19050"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600" b="1">
              <a:solidFill>
                <a:srgbClr val="268373"/>
              </a:solidFill>
            </a:rPr>
            <a:t>Total des ventes CA ventes</a:t>
          </a:r>
          <a:r>
            <a:rPr lang="fr-FR" sz="1600" b="1" baseline="0">
              <a:solidFill>
                <a:srgbClr val="268373"/>
              </a:solidFill>
            </a:rPr>
            <a:t> , objectifs</a:t>
          </a:r>
          <a:endParaRPr lang="fr-FR" sz="1600" b="1">
            <a:solidFill>
              <a:srgbClr val="268373"/>
            </a:solidFill>
          </a:endParaRPr>
        </a:p>
      </xdr:txBody>
    </xdr:sp>
    <xdr:clientData/>
  </xdr:twoCellAnchor>
  <xdr:twoCellAnchor>
    <xdr:from>
      <xdr:col>14</xdr:col>
      <xdr:colOff>266700</xdr:colOff>
      <xdr:row>13</xdr:row>
      <xdr:rowOff>19050</xdr:rowOff>
    </xdr:from>
    <xdr:to>
      <xdr:col>20</xdr:col>
      <xdr:colOff>514350</xdr:colOff>
      <xdr:row>36</xdr:row>
      <xdr:rowOff>9526</xdr:rowOff>
    </xdr:to>
    <xdr:sp macro="" textlink="">
      <xdr:nvSpPr>
        <xdr:cNvPr id="26" name="Rectangle : coins arrondis 25">
          <a:extLst>
            <a:ext uri="{FF2B5EF4-FFF2-40B4-BE49-F238E27FC236}">
              <a16:creationId xmlns:a16="http://schemas.microsoft.com/office/drawing/2014/main" id="{45E6AD2C-A506-4DEA-97B8-C058DBAAC9ED}"/>
            </a:ext>
          </a:extLst>
        </xdr:cNvPr>
        <xdr:cNvSpPr/>
      </xdr:nvSpPr>
      <xdr:spPr>
        <a:xfrm>
          <a:off x="10934700" y="2933700"/>
          <a:ext cx="4819650" cy="4371976"/>
        </a:xfrm>
        <a:prstGeom prst="roundRect">
          <a:avLst>
            <a:gd name="adj" fmla="val 5281"/>
          </a:avLst>
        </a:prstGeom>
        <a:solidFill>
          <a:srgbClr val="F2F5F7"/>
        </a:solidFill>
        <a:ln w="19050"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600" b="1">
              <a:solidFill>
                <a:srgbClr val="268373"/>
              </a:solidFill>
            </a:rPr>
            <a:t>Répartition des ventes</a:t>
          </a:r>
        </a:p>
      </xdr:txBody>
    </xdr:sp>
    <xdr:clientData/>
  </xdr:twoCellAnchor>
  <xdr:twoCellAnchor>
    <xdr:from>
      <xdr:col>2</xdr:col>
      <xdr:colOff>161925</xdr:colOff>
      <xdr:row>36</xdr:row>
      <xdr:rowOff>95250</xdr:rowOff>
    </xdr:from>
    <xdr:to>
      <xdr:col>8</xdr:col>
      <xdr:colOff>133350</xdr:colOff>
      <xdr:row>50</xdr:row>
      <xdr:rowOff>180976</xdr:rowOff>
    </xdr:to>
    <xdr:sp macro="" textlink="">
      <xdr:nvSpPr>
        <xdr:cNvPr id="27" name="Rectangle : coins arrondis 26">
          <a:extLst>
            <a:ext uri="{FF2B5EF4-FFF2-40B4-BE49-F238E27FC236}">
              <a16:creationId xmlns:a16="http://schemas.microsoft.com/office/drawing/2014/main" id="{DFE8F03D-D56E-478E-9978-FE667074ED9F}"/>
            </a:ext>
          </a:extLst>
        </xdr:cNvPr>
        <xdr:cNvSpPr/>
      </xdr:nvSpPr>
      <xdr:spPr>
        <a:xfrm>
          <a:off x="1685925" y="7391400"/>
          <a:ext cx="4543425" cy="2752726"/>
        </a:xfrm>
        <a:prstGeom prst="roundRect">
          <a:avLst>
            <a:gd name="adj" fmla="val 14674"/>
          </a:avLst>
        </a:prstGeom>
        <a:solidFill>
          <a:srgbClr val="F2F5F7"/>
        </a:solidFill>
        <a:ln w="19050"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600" b="1">
              <a:solidFill>
                <a:srgbClr val="268373"/>
              </a:solidFill>
            </a:rPr>
            <a:t>Total des ventes Ca</a:t>
          </a:r>
          <a:r>
            <a:rPr lang="fr-FR" sz="1600" b="1" baseline="0">
              <a:solidFill>
                <a:srgbClr val="268373"/>
              </a:solidFill>
            </a:rPr>
            <a:t> ventes,Bénifices</a:t>
          </a:r>
          <a:endParaRPr lang="fr-FR" sz="1600" b="1">
            <a:solidFill>
              <a:srgbClr val="268373"/>
            </a:solidFill>
          </a:endParaRPr>
        </a:p>
      </xdr:txBody>
    </xdr:sp>
    <xdr:clientData/>
  </xdr:twoCellAnchor>
  <xdr:twoCellAnchor>
    <xdr:from>
      <xdr:col>8</xdr:col>
      <xdr:colOff>190500</xdr:colOff>
      <xdr:row>36</xdr:row>
      <xdr:rowOff>123825</xdr:rowOff>
    </xdr:from>
    <xdr:to>
      <xdr:col>14</xdr:col>
      <xdr:colOff>161925</xdr:colOff>
      <xdr:row>51</xdr:row>
      <xdr:rowOff>19051</xdr:rowOff>
    </xdr:to>
    <xdr:sp macro="" textlink="">
      <xdr:nvSpPr>
        <xdr:cNvPr id="28" name="Rectangle : coins arrondis 27">
          <a:extLst>
            <a:ext uri="{FF2B5EF4-FFF2-40B4-BE49-F238E27FC236}">
              <a16:creationId xmlns:a16="http://schemas.microsoft.com/office/drawing/2014/main" id="{5E8E5ED1-43F5-4D3A-8F8F-249C5340D99C}"/>
            </a:ext>
          </a:extLst>
        </xdr:cNvPr>
        <xdr:cNvSpPr/>
      </xdr:nvSpPr>
      <xdr:spPr>
        <a:xfrm>
          <a:off x="6286500" y="7419975"/>
          <a:ext cx="4543425" cy="2752726"/>
        </a:xfrm>
        <a:prstGeom prst="roundRect">
          <a:avLst>
            <a:gd name="adj" fmla="val 14674"/>
          </a:avLst>
        </a:prstGeom>
        <a:solidFill>
          <a:srgbClr val="F2F5F7"/>
        </a:solidFill>
        <a:ln w="19050"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600" b="1">
              <a:solidFill>
                <a:srgbClr val="268373"/>
              </a:solidFill>
            </a:rPr>
            <a:t>Satisfaction client</a:t>
          </a:r>
        </a:p>
      </xdr:txBody>
    </xdr:sp>
    <xdr:clientData/>
  </xdr:twoCellAnchor>
  <xdr:twoCellAnchor>
    <xdr:from>
      <xdr:col>14</xdr:col>
      <xdr:colOff>285750</xdr:colOff>
      <xdr:row>36</xdr:row>
      <xdr:rowOff>76200</xdr:rowOff>
    </xdr:from>
    <xdr:to>
      <xdr:col>20</xdr:col>
      <xdr:colOff>533400</xdr:colOff>
      <xdr:row>50</xdr:row>
      <xdr:rowOff>152401</xdr:rowOff>
    </xdr:to>
    <xdr:sp macro="" textlink="">
      <xdr:nvSpPr>
        <xdr:cNvPr id="30" name="Rectangle : coins arrondis 29">
          <a:extLst>
            <a:ext uri="{FF2B5EF4-FFF2-40B4-BE49-F238E27FC236}">
              <a16:creationId xmlns:a16="http://schemas.microsoft.com/office/drawing/2014/main" id="{150C68BC-1C0F-482F-96B9-5B20F104E5D0}"/>
            </a:ext>
          </a:extLst>
        </xdr:cNvPr>
        <xdr:cNvSpPr/>
      </xdr:nvSpPr>
      <xdr:spPr>
        <a:xfrm>
          <a:off x="10953750" y="7372350"/>
          <a:ext cx="4819650" cy="2743201"/>
        </a:xfrm>
        <a:prstGeom prst="roundRect">
          <a:avLst>
            <a:gd name="adj" fmla="val 11878"/>
          </a:avLst>
        </a:prstGeom>
        <a:solidFill>
          <a:srgbClr val="F2F5F7"/>
        </a:solidFill>
        <a:ln w="19050"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600" b="1">
              <a:solidFill>
                <a:srgbClr val="268373"/>
              </a:solidFill>
            </a:rPr>
            <a:t>Répartition du</a:t>
          </a:r>
          <a:r>
            <a:rPr lang="fr-FR" sz="1600" b="1" baseline="0">
              <a:solidFill>
                <a:srgbClr val="268373"/>
              </a:solidFill>
            </a:rPr>
            <a:t> CA selon les régions</a:t>
          </a:r>
          <a:endParaRPr lang="fr-FR" sz="1600" b="1">
            <a:solidFill>
              <a:srgbClr val="268373"/>
            </a:solidFill>
          </a:endParaRPr>
        </a:p>
      </xdr:txBody>
    </xdr:sp>
    <xdr:clientData/>
  </xdr:twoCellAnchor>
  <xdr:twoCellAnchor>
    <xdr:from>
      <xdr:col>0</xdr:col>
      <xdr:colOff>76201</xdr:colOff>
      <xdr:row>5</xdr:row>
      <xdr:rowOff>38099</xdr:rowOff>
    </xdr:from>
    <xdr:to>
      <xdr:col>1</xdr:col>
      <xdr:colOff>704851</xdr:colOff>
      <xdr:row>51</xdr:row>
      <xdr:rowOff>0</xdr:rowOff>
    </xdr:to>
    <xdr:sp macro="" textlink="">
      <xdr:nvSpPr>
        <xdr:cNvPr id="31" name="Rectangle : coins arrondis 30">
          <a:extLst>
            <a:ext uri="{FF2B5EF4-FFF2-40B4-BE49-F238E27FC236}">
              <a16:creationId xmlns:a16="http://schemas.microsoft.com/office/drawing/2014/main" id="{8459F8AB-EC72-4E54-9063-17D7D3E843DF}"/>
            </a:ext>
          </a:extLst>
        </xdr:cNvPr>
        <xdr:cNvSpPr/>
      </xdr:nvSpPr>
      <xdr:spPr>
        <a:xfrm>
          <a:off x="76201" y="1428749"/>
          <a:ext cx="1390650" cy="8724901"/>
        </a:xfrm>
        <a:prstGeom prst="roundRect">
          <a:avLst>
            <a:gd name="adj" fmla="val 15858"/>
          </a:avLst>
        </a:prstGeom>
        <a:solidFill>
          <a:srgbClr val="F2F5F7"/>
        </a:solidFill>
        <a:ln w="19050"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600" b="1">
              <a:solidFill>
                <a:srgbClr val="268373"/>
              </a:solidFill>
            </a:rPr>
            <a:t>FILTRES</a:t>
          </a:r>
        </a:p>
      </xdr:txBody>
    </xdr:sp>
    <xdr:clientData/>
  </xdr:twoCellAnchor>
  <xdr:twoCellAnchor>
    <xdr:from>
      <xdr:col>2</xdr:col>
      <xdr:colOff>161925</xdr:colOff>
      <xdr:row>5</xdr:row>
      <xdr:rowOff>76200</xdr:rowOff>
    </xdr:from>
    <xdr:to>
      <xdr:col>8</xdr:col>
      <xdr:colOff>552450</xdr:colOff>
      <xdr:row>12</xdr:row>
      <xdr:rowOff>114300</xdr:rowOff>
    </xdr:to>
    <xdr:sp macro="" textlink="">
      <xdr:nvSpPr>
        <xdr:cNvPr id="32" name="Rectangle : coins arrondis 31">
          <a:extLst>
            <a:ext uri="{FF2B5EF4-FFF2-40B4-BE49-F238E27FC236}">
              <a16:creationId xmlns:a16="http://schemas.microsoft.com/office/drawing/2014/main" id="{A30FDE2D-9FFA-4257-A7BA-398DBC8F581E}"/>
            </a:ext>
          </a:extLst>
        </xdr:cNvPr>
        <xdr:cNvSpPr/>
      </xdr:nvSpPr>
      <xdr:spPr>
        <a:xfrm>
          <a:off x="1685925" y="1466850"/>
          <a:ext cx="4962525" cy="1371600"/>
        </a:xfrm>
        <a:prstGeom prst="roundRect">
          <a:avLst>
            <a:gd name="adj" fmla="val 16793"/>
          </a:avLst>
        </a:prstGeom>
        <a:solidFill>
          <a:srgbClr val="F2F5F7"/>
        </a:solidFill>
        <a:ln w="19050"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600" b="1">
              <a:solidFill>
                <a:srgbClr val="268373"/>
              </a:solidFill>
            </a:rPr>
            <a:t>Totlal</a:t>
          </a:r>
          <a:r>
            <a:rPr lang="fr-FR" sz="1600" b="1" baseline="0">
              <a:solidFill>
                <a:srgbClr val="268373"/>
              </a:solidFill>
            </a:rPr>
            <a:t> CA / Ventes</a:t>
          </a:r>
          <a:endParaRPr lang="fr-FR" sz="1600" b="1">
            <a:solidFill>
              <a:srgbClr val="268373"/>
            </a:solidFill>
          </a:endParaRPr>
        </a:p>
      </xdr:txBody>
    </xdr:sp>
    <xdr:clientData/>
  </xdr:twoCellAnchor>
  <xdr:twoCellAnchor>
    <xdr:from>
      <xdr:col>8</xdr:col>
      <xdr:colOff>619125</xdr:colOff>
      <xdr:row>5</xdr:row>
      <xdr:rowOff>57150</xdr:rowOff>
    </xdr:from>
    <xdr:to>
      <xdr:col>15</xdr:col>
      <xdr:colOff>247650</xdr:colOff>
      <xdr:row>12</xdr:row>
      <xdr:rowOff>95250</xdr:rowOff>
    </xdr:to>
    <xdr:sp macro="" textlink="">
      <xdr:nvSpPr>
        <xdr:cNvPr id="33" name="Rectangle : coins arrondis 32">
          <a:extLst>
            <a:ext uri="{FF2B5EF4-FFF2-40B4-BE49-F238E27FC236}">
              <a16:creationId xmlns:a16="http://schemas.microsoft.com/office/drawing/2014/main" id="{49C80679-8ADE-4DA4-AA0F-1EE556B87F7E}"/>
            </a:ext>
          </a:extLst>
        </xdr:cNvPr>
        <xdr:cNvSpPr/>
      </xdr:nvSpPr>
      <xdr:spPr>
        <a:xfrm>
          <a:off x="6715125" y="1447800"/>
          <a:ext cx="4962525" cy="1371600"/>
        </a:xfrm>
        <a:prstGeom prst="roundRect">
          <a:avLst>
            <a:gd name="adj" fmla="val 16793"/>
          </a:avLst>
        </a:prstGeom>
        <a:solidFill>
          <a:srgbClr val="F2F5F7"/>
        </a:solidFill>
        <a:ln w="19050"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600" b="1">
              <a:solidFill>
                <a:srgbClr val="268373"/>
              </a:solidFill>
            </a:rPr>
            <a:t>Total</a:t>
          </a:r>
          <a:r>
            <a:rPr lang="fr-FR" sz="1600" b="1" baseline="0">
              <a:solidFill>
                <a:srgbClr val="268373"/>
              </a:solidFill>
            </a:rPr>
            <a:t> Benefices</a:t>
          </a:r>
          <a:endParaRPr lang="fr-FR" sz="1600" b="1">
            <a:solidFill>
              <a:srgbClr val="268373"/>
            </a:solidFill>
          </a:endParaRPr>
        </a:p>
      </xdr:txBody>
    </xdr:sp>
    <xdr:clientData/>
  </xdr:twoCellAnchor>
  <xdr:twoCellAnchor>
    <xdr:from>
      <xdr:col>15</xdr:col>
      <xdr:colOff>352425</xdr:colOff>
      <xdr:row>5</xdr:row>
      <xdr:rowOff>76200</xdr:rowOff>
    </xdr:from>
    <xdr:to>
      <xdr:col>20</xdr:col>
      <xdr:colOff>542925</xdr:colOff>
      <xdr:row>12</xdr:row>
      <xdr:rowOff>114300</xdr:rowOff>
    </xdr:to>
    <xdr:sp macro="" textlink="">
      <xdr:nvSpPr>
        <xdr:cNvPr id="35" name="Rectangle : coins arrondis 34">
          <a:extLst>
            <a:ext uri="{FF2B5EF4-FFF2-40B4-BE49-F238E27FC236}">
              <a16:creationId xmlns:a16="http://schemas.microsoft.com/office/drawing/2014/main" id="{95888A62-948C-4A0E-AA7E-FD715E276491}"/>
            </a:ext>
          </a:extLst>
        </xdr:cNvPr>
        <xdr:cNvSpPr/>
      </xdr:nvSpPr>
      <xdr:spPr>
        <a:xfrm>
          <a:off x="11782425" y="1466850"/>
          <a:ext cx="4000500" cy="1371600"/>
        </a:xfrm>
        <a:prstGeom prst="roundRect">
          <a:avLst>
            <a:gd name="adj" fmla="val 16793"/>
          </a:avLst>
        </a:prstGeom>
        <a:solidFill>
          <a:srgbClr val="F2F5F7"/>
        </a:solidFill>
        <a:ln w="19050"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600" b="1">
              <a:solidFill>
                <a:srgbClr val="268373"/>
              </a:solidFill>
            </a:rPr>
            <a:t>Clients</a:t>
          </a:r>
          <a:r>
            <a:rPr lang="fr-FR" sz="1600" b="1" baseline="0">
              <a:solidFill>
                <a:srgbClr val="268373"/>
              </a:solidFill>
            </a:rPr>
            <a:t> &amp; Satisfation</a:t>
          </a:r>
          <a:endParaRPr lang="fr-FR" sz="1600" b="1">
            <a:solidFill>
              <a:srgbClr val="268373"/>
            </a:solidFill>
          </a:endParaRPr>
        </a:p>
      </xdr:txBody>
    </xdr:sp>
    <xdr:clientData/>
  </xdr:twoCellAnchor>
  <xdr:twoCellAnchor>
    <xdr:from>
      <xdr:col>2</xdr:col>
      <xdr:colOff>57150</xdr:colOff>
      <xdr:row>6</xdr:row>
      <xdr:rowOff>180975</xdr:rowOff>
    </xdr:from>
    <xdr:to>
      <xdr:col>6</xdr:col>
      <xdr:colOff>133350</xdr:colOff>
      <xdr:row>12</xdr:row>
      <xdr:rowOff>171450</xdr:rowOff>
    </xdr:to>
    <xdr:sp macro="" textlink="'Données traités'!C24">
      <xdr:nvSpPr>
        <xdr:cNvPr id="36" name="ZoneTexte 35">
          <a:extLst>
            <a:ext uri="{FF2B5EF4-FFF2-40B4-BE49-F238E27FC236}">
              <a16:creationId xmlns:a16="http://schemas.microsoft.com/office/drawing/2014/main" id="{5CEF557F-708C-C068-FD27-05D2E3119C27}"/>
            </a:ext>
          </a:extLst>
        </xdr:cNvPr>
        <xdr:cNvSpPr txBox="1"/>
      </xdr:nvSpPr>
      <xdr:spPr>
        <a:xfrm>
          <a:off x="1581150" y="1762125"/>
          <a:ext cx="3124200" cy="1133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7AAE225C-B53E-45CF-8F9E-C8CF7D041EF3}" type="TxLink">
            <a:rPr lang="en-US" sz="5400" b="1" i="0" u="none" strike="noStrike">
              <a:solidFill>
                <a:srgbClr val="268373"/>
              </a:solidFill>
              <a:latin typeface="Calibri"/>
              <a:ea typeface="Calibri"/>
              <a:cs typeface="Calibri"/>
            </a:rPr>
            <a:pPr algn="l"/>
            <a:t> 645 934 € </a:t>
          </a:fld>
          <a:endParaRPr lang="fr-FR" sz="5400" b="1">
            <a:solidFill>
              <a:srgbClr val="268373"/>
            </a:solidFill>
          </a:endParaRPr>
        </a:p>
      </xdr:txBody>
    </xdr:sp>
    <xdr:clientData/>
  </xdr:twoCellAnchor>
  <xdr:twoCellAnchor>
    <xdr:from>
      <xdr:col>8</xdr:col>
      <xdr:colOff>581025</xdr:colOff>
      <xdr:row>7</xdr:row>
      <xdr:rowOff>9525</xdr:rowOff>
    </xdr:from>
    <xdr:to>
      <xdr:col>12</xdr:col>
      <xdr:colOff>657225</xdr:colOff>
      <xdr:row>13</xdr:row>
      <xdr:rowOff>0</xdr:rowOff>
    </xdr:to>
    <xdr:sp macro="" textlink="'Données traités'!C38">
      <xdr:nvSpPr>
        <xdr:cNvPr id="37" name="ZoneTexte 36">
          <a:extLst>
            <a:ext uri="{FF2B5EF4-FFF2-40B4-BE49-F238E27FC236}">
              <a16:creationId xmlns:a16="http://schemas.microsoft.com/office/drawing/2014/main" id="{CFA3E1E3-B6AA-4A08-A9D2-426608AD3D01}"/>
            </a:ext>
          </a:extLst>
        </xdr:cNvPr>
        <xdr:cNvSpPr txBox="1"/>
      </xdr:nvSpPr>
      <xdr:spPr>
        <a:xfrm>
          <a:off x="6677025" y="1781175"/>
          <a:ext cx="3124200" cy="1133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4B7098E9-91E6-4918-862C-790175F01A26}" type="TxLink">
            <a:rPr lang="en-US" sz="5400" b="1" i="0" u="none" strike="noStrike">
              <a:solidFill>
                <a:srgbClr val="268373"/>
              </a:solidFill>
              <a:latin typeface="Calibri"/>
              <a:ea typeface="Calibri"/>
              <a:cs typeface="Calibri"/>
            </a:rPr>
            <a:pPr marL="0" indent="0" algn="l"/>
            <a:t> 273 607 € </a:t>
          </a:fld>
          <a:endParaRPr lang="en-US" sz="5400" b="1" i="0" u="none" strike="noStrike">
            <a:solidFill>
              <a:srgbClr val="268373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15</xdr:col>
      <xdr:colOff>361950</xdr:colOff>
      <xdr:row>7</xdr:row>
      <xdr:rowOff>38100</xdr:rowOff>
    </xdr:from>
    <xdr:to>
      <xdr:col>19</xdr:col>
      <xdr:colOff>438150</xdr:colOff>
      <xdr:row>13</xdr:row>
      <xdr:rowOff>28575</xdr:rowOff>
    </xdr:to>
    <xdr:sp macro="" textlink="'Données traités'!K53">
      <xdr:nvSpPr>
        <xdr:cNvPr id="38" name="ZoneTexte 37">
          <a:extLst>
            <a:ext uri="{FF2B5EF4-FFF2-40B4-BE49-F238E27FC236}">
              <a16:creationId xmlns:a16="http://schemas.microsoft.com/office/drawing/2014/main" id="{4F1D9B27-7791-408C-B297-B442B99F1C0F}"/>
            </a:ext>
          </a:extLst>
        </xdr:cNvPr>
        <xdr:cNvSpPr txBox="1"/>
      </xdr:nvSpPr>
      <xdr:spPr>
        <a:xfrm>
          <a:off x="11791950" y="1809750"/>
          <a:ext cx="3124200" cy="1133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E52EF996-4E14-4601-A126-B0F9E3911074}" type="TxLink">
            <a:rPr lang="en-US" sz="5400" b="1" i="0" u="none" strike="noStrike">
              <a:solidFill>
                <a:srgbClr val="268373"/>
              </a:solidFill>
              <a:latin typeface="Calibri"/>
              <a:ea typeface="Calibri"/>
              <a:cs typeface="Calibri"/>
            </a:rPr>
            <a:pPr marL="0" indent="0" algn="l"/>
            <a:t> 9 360 </a:t>
          </a:fld>
          <a:endParaRPr lang="en-US" sz="5400" b="1" i="0" u="none" strike="noStrike">
            <a:solidFill>
              <a:srgbClr val="268373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6</xdr:col>
      <xdr:colOff>228599</xdr:colOff>
      <xdr:row>5</xdr:row>
      <xdr:rowOff>104775</xdr:rowOff>
    </xdr:from>
    <xdr:to>
      <xdr:col>8</xdr:col>
      <xdr:colOff>409574</xdr:colOff>
      <xdr:row>12</xdr:row>
      <xdr:rowOff>57151</xdr:rowOff>
    </xdr:to>
    <xdr:graphicFrame macro="">
      <xdr:nvGraphicFramePr>
        <xdr:cNvPr id="39" name="Graphique 38">
          <a:extLst>
            <a:ext uri="{FF2B5EF4-FFF2-40B4-BE49-F238E27FC236}">
              <a16:creationId xmlns:a16="http://schemas.microsoft.com/office/drawing/2014/main" id="{4A5FB1BB-6CBD-4A3C-A60C-BD32A81F0F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638175</xdr:colOff>
      <xdr:row>5</xdr:row>
      <xdr:rowOff>114300</xdr:rowOff>
    </xdr:from>
    <xdr:to>
      <xdr:col>15</xdr:col>
      <xdr:colOff>57150</xdr:colOff>
      <xdr:row>12</xdr:row>
      <xdr:rowOff>66676</xdr:rowOff>
    </xdr:to>
    <xdr:graphicFrame macro="">
      <xdr:nvGraphicFramePr>
        <xdr:cNvPr id="41" name="Graphique 40">
          <a:extLst>
            <a:ext uri="{FF2B5EF4-FFF2-40B4-BE49-F238E27FC236}">
              <a16:creationId xmlns:a16="http://schemas.microsoft.com/office/drawing/2014/main" id="{D0B65253-C250-4010-B811-07629A9A4B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17</xdr:col>
      <xdr:colOff>638175</xdr:colOff>
      <xdr:row>5</xdr:row>
      <xdr:rowOff>123825</xdr:rowOff>
    </xdr:from>
    <xdr:to>
      <xdr:col>20</xdr:col>
      <xdr:colOff>57150</xdr:colOff>
      <xdr:row>12</xdr:row>
      <xdr:rowOff>76201</xdr:rowOff>
    </xdr:to>
    <xdr:graphicFrame macro="">
      <xdr:nvGraphicFramePr>
        <xdr:cNvPr id="42" name="Graphique 41">
          <a:extLst>
            <a:ext uri="{FF2B5EF4-FFF2-40B4-BE49-F238E27FC236}">
              <a16:creationId xmlns:a16="http://schemas.microsoft.com/office/drawing/2014/main" id="{64992058-CC2E-4173-821A-04A8BFBD6A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276225</xdr:colOff>
      <xdr:row>15</xdr:row>
      <xdr:rowOff>19050</xdr:rowOff>
    </xdr:from>
    <xdr:to>
      <xdr:col>13</xdr:col>
      <xdr:colOff>676275</xdr:colOff>
      <xdr:row>35</xdr:row>
      <xdr:rowOff>57150</xdr:rowOff>
    </xdr:to>
    <xdr:graphicFrame macro="">
      <xdr:nvGraphicFramePr>
        <xdr:cNvPr id="43" name="Graphique 42">
          <a:extLst>
            <a:ext uri="{FF2B5EF4-FFF2-40B4-BE49-F238E27FC236}">
              <a16:creationId xmlns:a16="http://schemas.microsoft.com/office/drawing/2014/main" id="{0A8FF13E-3B77-4A68-8EAB-91CEECA3B1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14</xdr:col>
      <xdr:colOff>266700</xdr:colOff>
      <xdr:row>15</xdr:row>
      <xdr:rowOff>50799</xdr:rowOff>
    </xdr:from>
    <xdr:to>
      <xdr:col>20</xdr:col>
      <xdr:colOff>520700</xdr:colOff>
      <xdr:row>36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TextEdit="1"/>
        </xdr:cNvSpPr>
      </xdr:nvSpPr>
      <xdr:spPr>
        <a:xfrm>
          <a:off x="11290300" y="3174999"/>
          <a:ext cx="4978400" cy="3683001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fr-FR" sz="1100"/>
            <a:t>Ce graphique n’est pas disponible dans votre version d’Excel.
La modification de cette forme ou l’enregistrement de ce classeur dans un autre format de fichier endommagera le graphique de façon irréparable.</a:t>
          </a:r>
        </a:p>
      </xdr:txBody>
    </xdr:sp>
    <xdr:clientData/>
  </xdr:twoCellAnchor>
  <xdr:twoCellAnchor>
    <xdr:from>
      <xdr:col>14</xdr:col>
      <xdr:colOff>314324</xdr:colOff>
      <xdr:row>38</xdr:row>
      <xdr:rowOff>57150</xdr:rowOff>
    </xdr:from>
    <xdr:to>
      <xdr:col>20</xdr:col>
      <xdr:colOff>438149</xdr:colOff>
      <xdr:row>50</xdr:row>
      <xdr:rowOff>152400</xdr:rowOff>
    </xdr:to>
    <xdr:graphicFrame macro="">
      <xdr:nvGraphicFramePr>
        <xdr:cNvPr id="45" name="Graphique 44">
          <a:extLst>
            <a:ext uri="{FF2B5EF4-FFF2-40B4-BE49-F238E27FC236}">
              <a16:creationId xmlns:a16="http://schemas.microsoft.com/office/drawing/2014/main" id="{097781CD-219B-44F6-8C3F-B67C910FC2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161925</xdr:colOff>
      <xdr:row>38</xdr:row>
      <xdr:rowOff>0</xdr:rowOff>
    </xdr:from>
    <xdr:to>
      <xdr:col>7</xdr:col>
      <xdr:colOff>695325</xdr:colOff>
      <xdr:row>50</xdr:row>
      <xdr:rowOff>171450</xdr:rowOff>
    </xdr:to>
    <xdr:graphicFrame macro="">
      <xdr:nvGraphicFramePr>
        <xdr:cNvPr id="46" name="Graphique 45">
          <a:extLst>
            <a:ext uri="{FF2B5EF4-FFF2-40B4-BE49-F238E27FC236}">
              <a16:creationId xmlns:a16="http://schemas.microsoft.com/office/drawing/2014/main" id="{D7E86193-26D5-4F81-A73E-C7ECBA15F0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400050</xdr:colOff>
      <xdr:row>37</xdr:row>
      <xdr:rowOff>28575</xdr:rowOff>
    </xdr:from>
    <xdr:to>
      <xdr:col>14</xdr:col>
      <xdr:colOff>400050</xdr:colOff>
      <xdr:row>51</xdr:row>
      <xdr:rowOff>104775</xdr:rowOff>
    </xdr:to>
    <xdr:graphicFrame macro="">
      <xdr:nvGraphicFramePr>
        <xdr:cNvPr id="47" name="Graphique 46">
          <a:extLst>
            <a:ext uri="{FF2B5EF4-FFF2-40B4-BE49-F238E27FC236}">
              <a16:creationId xmlns:a16="http://schemas.microsoft.com/office/drawing/2014/main" id="{9154BDE5-891C-496C-A926-2EBDDC99CC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0</xdr:col>
      <xdr:colOff>142875</xdr:colOff>
      <xdr:row>8</xdr:row>
      <xdr:rowOff>19051</xdr:rowOff>
    </xdr:from>
    <xdr:to>
      <xdr:col>1</xdr:col>
      <xdr:colOff>600075</xdr:colOff>
      <xdr:row>24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8" name="Mois">
              <a:extLst>
                <a:ext uri="{FF2B5EF4-FFF2-40B4-BE49-F238E27FC236}">
                  <a16:creationId xmlns:a16="http://schemas.microsoft.com/office/drawing/2014/main" id="{60D5AAAB-E86D-416F-A82D-3D5C1A2A98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i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875" y="1981201"/>
              <a:ext cx="1219200" cy="32099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123825</xdr:colOff>
      <xdr:row>25</xdr:row>
      <xdr:rowOff>85725</xdr:rowOff>
    </xdr:from>
    <xdr:to>
      <xdr:col>1</xdr:col>
      <xdr:colOff>600075</xdr:colOff>
      <xdr:row>39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9" name="Pays">
              <a:extLst>
                <a:ext uri="{FF2B5EF4-FFF2-40B4-BE49-F238E27FC236}">
                  <a16:creationId xmlns:a16="http://schemas.microsoft.com/office/drawing/2014/main" id="{AA0F47DC-DCD7-469B-99AA-677D2EA411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25" y="5286375"/>
              <a:ext cx="123825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161925</xdr:colOff>
      <xdr:row>39</xdr:row>
      <xdr:rowOff>66676</xdr:rowOff>
    </xdr:from>
    <xdr:to>
      <xdr:col>1</xdr:col>
      <xdr:colOff>638175</xdr:colOff>
      <xdr:row>46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0" name="Trimestre">
              <a:extLst>
                <a:ext uri="{FF2B5EF4-FFF2-40B4-BE49-F238E27FC236}">
                  <a16:creationId xmlns:a16="http://schemas.microsoft.com/office/drawing/2014/main" id="{EB813838-C39F-46AF-9638-4790BA6149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imestr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1925" y="7934326"/>
              <a:ext cx="1238250" cy="13334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14</xdr:col>
      <xdr:colOff>268941</xdr:colOff>
      <xdr:row>15</xdr:row>
      <xdr:rowOff>35859</xdr:rowOff>
    </xdr:from>
    <xdr:to>
      <xdr:col>20</xdr:col>
      <xdr:colOff>519952</xdr:colOff>
      <xdr:row>36</xdr:row>
      <xdr:rowOff>26893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2" name="Graphique 11">
              <a:extLst>
                <a:ext uri="{FF2B5EF4-FFF2-40B4-BE49-F238E27FC236}">
                  <a16:creationId xmlns:a16="http://schemas.microsoft.com/office/drawing/2014/main" id="{683020EF-98B2-4D07-BECC-883ED69CDB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48421" y="3228639"/>
              <a:ext cx="5005891" cy="38315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28577</xdr:rowOff>
    </xdr:from>
    <xdr:to>
      <xdr:col>0</xdr:col>
      <xdr:colOff>685800</xdr:colOff>
      <xdr:row>0</xdr:row>
      <xdr:rowOff>600079</xdr:rowOff>
    </xdr:to>
    <xdr:sp macro="" textlink="">
      <xdr:nvSpPr>
        <xdr:cNvPr id="2" name="Rectangle : avec coins arrondis en haut 1">
          <a:extLst>
            <a:ext uri="{FF2B5EF4-FFF2-40B4-BE49-F238E27FC236}">
              <a16:creationId xmlns:a16="http://schemas.microsoft.com/office/drawing/2014/main" id="{D27F6DC3-3F10-4E47-9970-C8497D20B074}"/>
            </a:ext>
          </a:extLst>
        </xdr:cNvPr>
        <xdr:cNvSpPr/>
      </xdr:nvSpPr>
      <xdr:spPr>
        <a:xfrm rot="5400000">
          <a:off x="57149" y="-28572"/>
          <a:ext cx="571502" cy="685800"/>
        </a:xfrm>
        <a:prstGeom prst="round2SameRect">
          <a:avLst>
            <a:gd name="adj1" fmla="val 50000"/>
            <a:gd name="adj2" fmla="val 0"/>
          </a:avLst>
        </a:prstGeom>
        <a:solidFill>
          <a:srgbClr val="F2F5F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oneCell">
    <xdr:from>
      <xdr:col>0</xdr:col>
      <xdr:colOff>112569</xdr:colOff>
      <xdr:row>0</xdr:row>
      <xdr:rowOff>35893</xdr:rowOff>
    </xdr:from>
    <xdr:to>
      <xdr:col>0</xdr:col>
      <xdr:colOff>665727</xdr:colOff>
      <xdr:row>0</xdr:row>
      <xdr:rowOff>601776</xdr:rowOff>
    </xdr:to>
    <xdr:pic>
      <xdr:nvPicPr>
        <xdr:cNvPr id="3" name="Image 2" descr="Une image contenant balle, Caractère coloré, sphère&#10;&#10;Description générée automatiqueme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4CC388-F831-4E3C-A284-7D5AE6D74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569" y="35893"/>
          <a:ext cx="553158" cy="56588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28577</xdr:rowOff>
    </xdr:from>
    <xdr:to>
      <xdr:col>0</xdr:col>
      <xdr:colOff>685800</xdr:colOff>
      <xdr:row>0</xdr:row>
      <xdr:rowOff>600079</xdr:rowOff>
    </xdr:to>
    <xdr:sp macro="" textlink="">
      <xdr:nvSpPr>
        <xdr:cNvPr id="4" name="Rectangle : avec coins arrondis en haut 3">
          <a:extLst>
            <a:ext uri="{FF2B5EF4-FFF2-40B4-BE49-F238E27FC236}">
              <a16:creationId xmlns:a16="http://schemas.microsoft.com/office/drawing/2014/main" id="{44943806-DF29-4790-AE32-BA0BAAEDC3CF}"/>
            </a:ext>
          </a:extLst>
        </xdr:cNvPr>
        <xdr:cNvSpPr/>
      </xdr:nvSpPr>
      <xdr:spPr>
        <a:xfrm rot="5400000">
          <a:off x="57149" y="-28572"/>
          <a:ext cx="571502" cy="685800"/>
        </a:xfrm>
        <a:prstGeom prst="round2SameRect">
          <a:avLst>
            <a:gd name="adj1" fmla="val 50000"/>
            <a:gd name="adj2" fmla="val 0"/>
          </a:avLst>
        </a:prstGeom>
        <a:solidFill>
          <a:srgbClr val="F2F5F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oneCell">
    <xdr:from>
      <xdr:col>0</xdr:col>
      <xdr:colOff>112569</xdr:colOff>
      <xdr:row>0</xdr:row>
      <xdr:rowOff>35893</xdr:rowOff>
    </xdr:from>
    <xdr:to>
      <xdr:col>0</xdr:col>
      <xdr:colOff>665727</xdr:colOff>
      <xdr:row>0</xdr:row>
      <xdr:rowOff>601776</xdr:rowOff>
    </xdr:to>
    <xdr:pic>
      <xdr:nvPicPr>
        <xdr:cNvPr id="5" name="Image 4" descr="Une image contenant balle, Caractère coloré, sphère&#10;&#10;Description générée automatiquement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DABA367-407A-4472-B82A-22D88696E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569" y="35893"/>
          <a:ext cx="553158" cy="565883"/>
        </a:xfrm>
        <a:prstGeom prst="rect">
          <a:avLst/>
        </a:prstGeom>
      </xdr:spPr>
    </xdr:pic>
    <xdr:clientData/>
  </xdr:twoCellAnchor>
  <xdr:twoCellAnchor editAs="absolute">
    <xdr:from>
      <xdr:col>2</xdr:col>
      <xdr:colOff>1018136</xdr:colOff>
      <xdr:row>0</xdr:row>
      <xdr:rowOff>110836</xdr:rowOff>
    </xdr:from>
    <xdr:to>
      <xdr:col>4</xdr:col>
      <xdr:colOff>644583</xdr:colOff>
      <xdr:row>0</xdr:row>
      <xdr:rowOff>577561</xdr:rowOff>
    </xdr:to>
    <xdr:grpSp>
      <xdr:nvGrpSpPr>
        <xdr:cNvPr id="6" name="Groupe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7416124-5473-4B1D-ABEF-6F44001ABF1E}"/>
            </a:ext>
          </a:extLst>
        </xdr:cNvPr>
        <xdr:cNvGrpSpPr/>
      </xdr:nvGrpSpPr>
      <xdr:grpSpPr>
        <a:xfrm>
          <a:off x="3060296" y="110836"/>
          <a:ext cx="2354407" cy="466725"/>
          <a:chOff x="2991716" y="110836"/>
          <a:chExt cx="2268682" cy="466725"/>
        </a:xfrm>
      </xdr:grpSpPr>
      <xdr:sp macro="" textlink="">
        <xdr:nvSpPr>
          <xdr:cNvPr id="7" name="Rectangle : coins arrondis 6">
            <a:extLst>
              <a:ext uri="{FF2B5EF4-FFF2-40B4-BE49-F238E27FC236}">
                <a16:creationId xmlns:a16="http://schemas.microsoft.com/office/drawing/2014/main" id="{55FDA659-21D7-4E64-14FB-7FD6733B3E21}"/>
              </a:ext>
            </a:extLst>
          </xdr:cNvPr>
          <xdr:cNvSpPr/>
        </xdr:nvSpPr>
        <xdr:spPr>
          <a:xfrm>
            <a:off x="2991716" y="110836"/>
            <a:ext cx="2268682" cy="466725"/>
          </a:xfrm>
          <a:prstGeom prst="roundRect">
            <a:avLst>
              <a:gd name="adj" fmla="val 50000"/>
            </a:avLst>
          </a:prstGeom>
          <a:solidFill>
            <a:srgbClr val="8CA999"/>
          </a:solidFill>
          <a:ln>
            <a:solidFill>
              <a:srgbClr val="F2F5F7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fr-FR" sz="1800" b="1">
                <a:solidFill>
                  <a:srgbClr val="268373"/>
                </a:solidFill>
              </a:rPr>
              <a:t>Données traitées</a:t>
            </a:r>
          </a:p>
        </xdr:txBody>
      </xdr:sp>
      <xdr:sp macro="" textlink="">
        <xdr:nvSpPr>
          <xdr:cNvPr id="8" name="Ellipse 7">
            <a:extLst>
              <a:ext uri="{FF2B5EF4-FFF2-40B4-BE49-F238E27FC236}">
                <a16:creationId xmlns:a16="http://schemas.microsoft.com/office/drawing/2014/main" id="{E317FA13-93C4-8CE4-4146-1C20D445E3A8}"/>
              </a:ext>
            </a:extLst>
          </xdr:cNvPr>
          <xdr:cNvSpPr/>
        </xdr:nvSpPr>
        <xdr:spPr>
          <a:xfrm>
            <a:off x="3051464" y="160193"/>
            <a:ext cx="374073" cy="374073"/>
          </a:xfrm>
          <a:prstGeom prst="ellipse">
            <a:avLst/>
          </a:prstGeom>
          <a:solidFill>
            <a:srgbClr val="F2F5F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pic>
        <xdr:nvPicPr>
          <xdr:cNvPr id="9" name="Image 8" descr="Une image contenant jouet&#10;&#10;Description générée automatiquement">
            <a:extLst>
              <a:ext uri="{FF2B5EF4-FFF2-40B4-BE49-F238E27FC236}">
                <a16:creationId xmlns:a16="http://schemas.microsoft.com/office/drawing/2014/main" id="{45EDF328-6CA4-49AC-241D-5657F4C0D53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4125" t="36700" r="36908" b="36027"/>
          <a:stretch/>
        </xdr:blipFill>
        <xdr:spPr>
          <a:xfrm>
            <a:off x="3052330" y="181841"/>
            <a:ext cx="324555" cy="298740"/>
          </a:xfrm>
          <a:prstGeom prst="rect">
            <a:avLst/>
          </a:prstGeom>
        </xdr:spPr>
      </xdr:pic>
    </xdr:grpSp>
    <xdr:clientData/>
  </xdr:twoCellAnchor>
  <xdr:twoCellAnchor editAs="absolute">
    <xdr:from>
      <xdr:col>1</xdr:col>
      <xdr:colOff>228600</xdr:colOff>
      <xdr:row>0</xdr:row>
      <xdr:rowOff>114300</xdr:rowOff>
    </xdr:from>
    <xdr:to>
      <xdr:col>2</xdr:col>
      <xdr:colOff>931545</xdr:colOff>
      <xdr:row>0</xdr:row>
      <xdr:rowOff>581025</xdr:rowOff>
    </xdr:to>
    <xdr:grpSp>
      <xdr:nvGrpSpPr>
        <xdr:cNvPr id="10" name="Groupe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81F9ABB-C799-4B51-A26E-0EBD70D2CC53}"/>
            </a:ext>
          </a:extLst>
        </xdr:cNvPr>
        <xdr:cNvGrpSpPr/>
      </xdr:nvGrpSpPr>
      <xdr:grpSpPr>
        <a:xfrm>
          <a:off x="1021080" y="114300"/>
          <a:ext cx="1952625" cy="466725"/>
          <a:chOff x="990600" y="114300"/>
          <a:chExt cx="1914525" cy="466725"/>
        </a:xfrm>
      </xdr:grpSpPr>
      <xdr:sp macro="" textlink="">
        <xdr:nvSpPr>
          <xdr:cNvPr id="11" name="Rectangle : coins arrondis 10">
            <a:extLst>
              <a:ext uri="{FF2B5EF4-FFF2-40B4-BE49-F238E27FC236}">
                <a16:creationId xmlns:a16="http://schemas.microsoft.com/office/drawing/2014/main" id="{80684E10-C52A-C8A2-5D05-0E6AE7C98A7B}"/>
              </a:ext>
            </a:extLst>
          </xdr:cNvPr>
          <xdr:cNvSpPr/>
        </xdr:nvSpPr>
        <xdr:spPr>
          <a:xfrm>
            <a:off x="990600" y="114300"/>
            <a:ext cx="1914525" cy="466725"/>
          </a:xfrm>
          <a:prstGeom prst="roundRect">
            <a:avLst>
              <a:gd name="adj" fmla="val 50000"/>
            </a:avLst>
          </a:prstGeom>
          <a:solidFill>
            <a:srgbClr val="8CA999"/>
          </a:solidFill>
          <a:ln>
            <a:solidFill>
              <a:srgbClr val="F2F5F7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fr-FR" sz="1800" b="1">
                <a:solidFill>
                  <a:srgbClr val="268373"/>
                </a:solidFill>
              </a:rPr>
              <a:t>Tableau bord</a:t>
            </a:r>
          </a:p>
        </xdr:txBody>
      </xdr:sp>
      <xdr:sp macro="" textlink="">
        <xdr:nvSpPr>
          <xdr:cNvPr id="12" name="Ellipse 11">
            <a:extLst>
              <a:ext uri="{FF2B5EF4-FFF2-40B4-BE49-F238E27FC236}">
                <a16:creationId xmlns:a16="http://schemas.microsoft.com/office/drawing/2014/main" id="{B5610EAB-74E4-95DF-2760-DC80CF303158}"/>
              </a:ext>
            </a:extLst>
          </xdr:cNvPr>
          <xdr:cNvSpPr/>
        </xdr:nvSpPr>
        <xdr:spPr>
          <a:xfrm>
            <a:off x="1050348" y="163657"/>
            <a:ext cx="374073" cy="374073"/>
          </a:xfrm>
          <a:prstGeom prst="ellipse">
            <a:avLst/>
          </a:prstGeom>
          <a:solidFill>
            <a:srgbClr val="F2F5F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pic>
        <xdr:nvPicPr>
          <xdr:cNvPr id="13" name="Image 12" descr="Une image contenant jouet&#10;&#10;Description générée automatiquement">
            <a:extLst>
              <a:ext uri="{FF2B5EF4-FFF2-40B4-BE49-F238E27FC236}">
                <a16:creationId xmlns:a16="http://schemas.microsoft.com/office/drawing/2014/main" id="{40F89777-42A9-5A50-6E7D-BEE159854E9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0028" t="66263" r="72526" b="8148"/>
          <a:stretch/>
        </xdr:blipFill>
        <xdr:spPr>
          <a:xfrm>
            <a:off x="1130011" y="181841"/>
            <a:ext cx="229466" cy="329045"/>
          </a:xfrm>
          <a:prstGeom prst="rect">
            <a:avLst/>
          </a:prstGeom>
        </xdr:spPr>
      </xdr:pic>
    </xdr:grpSp>
    <xdr:clientData/>
  </xdr:twoCellAnchor>
  <xdr:twoCellAnchor editAs="absolute">
    <xdr:from>
      <xdr:col>4</xdr:col>
      <xdr:colOff>736368</xdr:colOff>
      <xdr:row>0</xdr:row>
      <xdr:rowOff>98713</xdr:rowOff>
    </xdr:from>
    <xdr:to>
      <xdr:col>6</xdr:col>
      <xdr:colOff>317268</xdr:colOff>
      <xdr:row>0</xdr:row>
      <xdr:rowOff>565438</xdr:rowOff>
    </xdr:to>
    <xdr:grpSp>
      <xdr:nvGrpSpPr>
        <xdr:cNvPr id="14" name="Groupe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6EE35B4-EDEA-4ABD-813F-7AD9E0E4947A}"/>
            </a:ext>
          </a:extLst>
        </xdr:cNvPr>
        <xdr:cNvGrpSpPr/>
      </xdr:nvGrpSpPr>
      <xdr:grpSpPr>
        <a:xfrm>
          <a:off x="5506488" y="98713"/>
          <a:ext cx="1950720" cy="466725"/>
          <a:chOff x="5352183" y="98713"/>
          <a:chExt cx="1914525" cy="466725"/>
        </a:xfrm>
      </xdr:grpSpPr>
      <xdr:sp macro="" textlink="">
        <xdr:nvSpPr>
          <xdr:cNvPr id="15" name="Rectangle : coins arrondis 14">
            <a:extLst>
              <a:ext uri="{FF2B5EF4-FFF2-40B4-BE49-F238E27FC236}">
                <a16:creationId xmlns:a16="http://schemas.microsoft.com/office/drawing/2014/main" id="{853CFED8-C65A-2C19-263D-FB44EE7C4851}"/>
              </a:ext>
            </a:extLst>
          </xdr:cNvPr>
          <xdr:cNvSpPr/>
        </xdr:nvSpPr>
        <xdr:spPr>
          <a:xfrm>
            <a:off x="5352183" y="98713"/>
            <a:ext cx="1914525" cy="466725"/>
          </a:xfrm>
          <a:prstGeom prst="roundRect">
            <a:avLst>
              <a:gd name="adj" fmla="val 50000"/>
            </a:avLst>
          </a:prstGeom>
          <a:solidFill>
            <a:srgbClr val="8CA999"/>
          </a:solidFill>
          <a:ln>
            <a:solidFill>
              <a:srgbClr val="F2F5F7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fr-FR" sz="1800" b="1">
                <a:solidFill>
                  <a:srgbClr val="268373"/>
                </a:solidFill>
              </a:rPr>
              <a:t>Contats mail</a:t>
            </a:r>
          </a:p>
        </xdr:txBody>
      </xdr:sp>
      <xdr:sp macro="" textlink="">
        <xdr:nvSpPr>
          <xdr:cNvPr id="16" name="Ellipse 15">
            <a:extLst>
              <a:ext uri="{FF2B5EF4-FFF2-40B4-BE49-F238E27FC236}">
                <a16:creationId xmlns:a16="http://schemas.microsoft.com/office/drawing/2014/main" id="{3DB5651C-C360-4D6B-867F-B5B3E8A101AF}"/>
              </a:ext>
            </a:extLst>
          </xdr:cNvPr>
          <xdr:cNvSpPr/>
        </xdr:nvSpPr>
        <xdr:spPr>
          <a:xfrm>
            <a:off x="5411931" y="148070"/>
            <a:ext cx="374073" cy="374073"/>
          </a:xfrm>
          <a:prstGeom prst="ellipse">
            <a:avLst/>
          </a:prstGeom>
          <a:solidFill>
            <a:srgbClr val="F2F5F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pic>
        <xdr:nvPicPr>
          <xdr:cNvPr id="17" name="Image 16" descr="Une image contenant jouet&#10;&#10;Description générée automatiquement">
            <a:extLst>
              <a:ext uri="{FF2B5EF4-FFF2-40B4-BE49-F238E27FC236}">
                <a16:creationId xmlns:a16="http://schemas.microsoft.com/office/drawing/2014/main" id="{97ACC9B0-6A0E-485F-7289-DC49F301FFE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7899" t="71246" r="4279" b="7744"/>
          <a:stretch/>
        </xdr:blipFill>
        <xdr:spPr>
          <a:xfrm>
            <a:off x="5424920" y="203489"/>
            <a:ext cx="365937" cy="270163"/>
          </a:xfrm>
          <a:prstGeom prst="rect">
            <a:avLst/>
          </a:prstGeom>
        </xdr:spPr>
      </xdr:pic>
    </xdr:grpSp>
    <xdr:clientData/>
  </xdr:twoCellAnchor>
  <xdr:twoCellAnchor editAs="absolute">
    <xdr:from>
      <xdr:col>7</xdr:col>
      <xdr:colOff>111703</xdr:colOff>
      <xdr:row>0</xdr:row>
      <xdr:rowOff>82261</xdr:rowOff>
    </xdr:from>
    <xdr:to>
      <xdr:col>10</xdr:col>
      <xdr:colOff>347749</xdr:colOff>
      <xdr:row>0</xdr:row>
      <xdr:rowOff>548986</xdr:rowOff>
    </xdr:to>
    <xdr:grpSp>
      <xdr:nvGrpSpPr>
        <xdr:cNvPr id="18" name="Groupe 1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55F6E83-3C14-4E0A-936E-391C4E2261FF}"/>
            </a:ext>
          </a:extLst>
        </xdr:cNvPr>
        <xdr:cNvGrpSpPr/>
      </xdr:nvGrpSpPr>
      <xdr:grpSpPr>
        <a:xfrm>
          <a:off x="7602163" y="82261"/>
          <a:ext cx="2003886" cy="466725"/>
          <a:chOff x="7379278" y="82261"/>
          <a:chExt cx="1963881" cy="466725"/>
        </a:xfrm>
      </xdr:grpSpPr>
      <xdr:sp macro="" textlink="">
        <xdr:nvSpPr>
          <xdr:cNvPr id="19" name="Rectangle : coins arrondis 18">
            <a:extLst>
              <a:ext uri="{FF2B5EF4-FFF2-40B4-BE49-F238E27FC236}">
                <a16:creationId xmlns:a16="http://schemas.microsoft.com/office/drawing/2014/main" id="{5E7674D7-FBA0-9E96-B1AA-10C5D34BB072}"/>
              </a:ext>
            </a:extLst>
          </xdr:cNvPr>
          <xdr:cNvSpPr/>
        </xdr:nvSpPr>
        <xdr:spPr>
          <a:xfrm>
            <a:off x="7379278" y="82261"/>
            <a:ext cx="1963881" cy="466725"/>
          </a:xfrm>
          <a:prstGeom prst="roundRect">
            <a:avLst>
              <a:gd name="adj" fmla="val 50000"/>
            </a:avLst>
          </a:prstGeom>
          <a:solidFill>
            <a:srgbClr val="268373"/>
          </a:solidFill>
          <a:ln>
            <a:solidFill>
              <a:srgbClr val="F2F5F7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fr-FR" sz="1800" b="1">
                <a:solidFill>
                  <a:srgbClr val="F2F5F7"/>
                </a:solidFill>
              </a:rPr>
              <a:t>Base</a:t>
            </a:r>
            <a:r>
              <a:rPr lang="fr-FR" sz="1800" b="1" baseline="0">
                <a:solidFill>
                  <a:srgbClr val="F2F5F7"/>
                </a:solidFill>
              </a:rPr>
              <a:t> données</a:t>
            </a:r>
            <a:endParaRPr lang="fr-FR" sz="1800" b="1">
              <a:solidFill>
                <a:srgbClr val="F2F5F7"/>
              </a:solidFill>
            </a:endParaRPr>
          </a:p>
        </xdr:txBody>
      </xdr:sp>
      <xdr:sp macro="" textlink="">
        <xdr:nvSpPr>
          <xdr:cNvPr id="20" name="Ellipse 19">
            <a:extLst>
              <a:ext uri="{FF2B5EF4-FFF2-40B4-BE49-F238E27FC236}">
                <a16:creationId xmlns:a16="http://schemas.microsoft.com/office/drawing/2014/main" id="{297E792A-1B71-CC4E-2597-B46D84AB7009}"/>
              </a:ext>
            </a:extLst>
          </xdr:cNvPr>
          <xdr:cNvSpPr/>
        </xdr:nvSpPr>
        <xdr:spPr>
          <a:xfrm>
            <a:off x="7439026" y="131618"/>
            <a:ext cx="374073" cy="374073"/>
          </a:xfrm>
          <a:prstGeom prst="ellipse">
            <a:avLst/>
          </a:prstGeom>
          <a:solidFill>
            <a:srgbClr val="F2F5F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pic>
        <xdr:nvPicPr>
          <xdr:cNvPr id="21" name="Image 20" descr="Une image contenant jouet&#10;&#10;Description générée automatiquement">
            <a:extLst>
              <a:ext uri="{FF2B5EF4-FFF2-40B4-BE49-F238E27FC236}">
                <a16:creationId xmlns:a16="http://schemas.microsoft.com/office/drawing/2014/main" id="{F262DB5A-995F-CE15-8026-11D899E146A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70137" t="7879" r="12088" b="66869"/>
          <a:stretch/>
        </xdr:blipFill>
        <xdr:spPr>
          <a:xfrm>
            <a:off x="7507432" y="164524"/>
            <a:ext cx="221325" cy="307397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28577</xdr:rowOff>
    </xdr:from>
    <xdr:to>
      <xdr:col>0</xdr:col>
      <xdr:colOff>685800</xdr:colOff>
      <xdr:row>0</xdr:row>
      <xdr:rowOff>600079</xdr:rowOff>
    </xdr:to>
    <xdr:sp macro="" textlink="">
      <xdr:nvSpPr>
        <xdr:cNvPr id="2" name="Rectangle : avec coins arrondis en haut 1">
          <a:extLst>
            <a:ext uri="{FF2B5EF4-FFF2-40B4-BE49-F238E27FC236}">
              <a16:creationId xmlns:a16="http://schemas.microsoft.com/office/drawing/2014/main" id="{72755AA9-89D3-40EA-94C2-E1D62CF5C6C2}"/>
            </a:ext>
          </a:extLst>
        </xdr:cNvPr>
        <xdr:cNvSpPr/>
      </xdr:nvSpPr>
      <xdr:spPr>
        <a:xfrm rot="5400000">
          <a:off x="57149" y="-28572"/>
          <a:ext cx="571502" cy="685800"/>
        </a:xfrm>
        <a:prstGeom prst="round2SameRect">
          <a:avLst>
            <a:gd name="adj1" fmla="val 50000"/>
            <a:gd name="adj2" fmla="val 0"/>
          </a:avLst>
        </a:prstGeom>
        <a:solidFill>
          <a:srgbClr val="F2F5F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oneCell">
    <xdr:from>
      <xdr:col>0</xdr:col>
      <xdr:colOff>112569</xdr:colOff>
      <xdr:row>0</xdr:row>
      <xdr:rowOff>35893</xdr:rowOff>
    </xdr:from>
    <xdr:to>
      <xdr:col>0</xdr:col>
      <xdr:colOff>665727</xdr:colOff>
      <xdr:row>0</xdr:row>
      <xdr:rowOff>601776</xdr:rowOff>
    </xdr:to>
    <xdr:pic>
      <xdr:nvPicPr>
        <xdr:cNvPr id="3" name="Image 2" descr="Une image contenant balle, Caractère coloré, sphère&#10;&#10;Description générée automatiqueme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249B51-39A0-4EF9-96BB-22AD0AED6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569" y="35893"/>
          <a:ext cx="553158" cy="565883"/>
        </a:xfrm>
        <a:prstGeom prst="rect">
          <a:avLst/>
        </a:prstGeom>
      </xdr:spPr>
    </xdr:pic>
    <xdr:clientData/>
  </xdr:twoCellAnchor>
  <xdr:twoCellAnchor editAs="oneCell">
    <xdr:from>
      <xdr:col>3</xdr:col>
      <xdr:colOff>705716</xdr:colOff>
      <xdr:row>0</xdr:row>
      <xdr:rowOff>110836</xdr:rowOff>
    </xdr:from>
    <xdr:to>
      <xdr:col>6</xdr:col>
      <xdr:colOff>688398</xdr:colOff>
      <xdr:row>0</xdr:row>
      <xdr:rowOff>577561</xdr:rowOff>
    </xdr:to>
    <xdr:grpSp>
      <xdr:nvGrpSpPr>
        <xdr:cNvPr id="4" name="Group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BD4F5C5-FC6D-4523-BB1B-8A55F06AF1F3}"/>
            </a:ext>
          </a:extLst>
        </xdr:cNvPr>
        <xdr:cNvGrpSpPr/>
      </xdr:nvGrpSpPr>
      <xdr:grpSpPr>
        <a:xfrm>
          <a:off x="3083156" y="110836"/>
          <a:ext cx="2360122" cy="466725"/>
          <a:chOff x="2991716" y="110836"/>
          <a:chExt cx="2268682" cy="466725"/>
        </a:xfrm>
      </xdr:grpSpPr>
      <xdr:sp macro="" textlink="">
        <xdr:nvSpPr>
          <xdr:cNvPr id="5" name="Rectangle : coins arrondis 4">
            <a:extLst>
              <a:ext uri="{FF2B5EF4-FFF2-40B4-BE49-F238E27FC236}">
                <a16:creationId xmlns:a16="http://schemas.microsoft.com/office/drawing/2014/main" id="{615A248D-3D1D-47CC-6A17-C71EA0A01E79}"/>
              </a:ext>
            </a:extLst>
          </xdr:cNvPr>
          <xdr:cNvSpPr/>
        </xdr:nvSpPr>
        <xdr:spPr>
          <a:xfrm>
            <a:off x="2991716" y="110836"/>
            <a:ext cx="2268682" cy="466725"/>
          </a:xfrm>
          <a:prstGeom prst="roundRect">
            <a:avLst>
              <a:gd name="adj" fmla="val 50000"/>
            </a:avLst>
          </a:prstGeom>
          <a:solidFill>
            <a:srgbClr val="8CA999"/>
          </a:solidFill>
          <a:ln>
            <a:solidFill>
              <a:srgbClr val="F2F5F7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fr-FR" sz="1800" b="1">
                <a:solidFill>
                  <a:srgbClr val="268373"/>
                </a:solidFill>
              </a:rPr>
              <a:t>Données traitées</a:t>
            </a:r>
          </a:p>
        </xdr:txBody>
      </xdr:sp>
      <xdr:sp macro="" textlink="">
        <xdr:nvSpPr>
          <xdr:cNvPr id="6" name="Ellipse 5">
            <a:extLst>
              <a:ext uri="{FF2B5EF4-FFF2-40B4-BE49-F238E27FC236}">
                <a16:creationId xmlns:a16="http://schemas.microsoft.com/office/drawing/2014/main" id="{923DA364-C0FE-4763-BA5D-E1CA3E72C1E8}"/>
              </a:ext>
            </a:extLst>
          </xdr:cNvPr>
          <xdr:cNvSpPr/>
        </xdr:nvSpPr>
        <xdr:spPr>
          <a:xfrm>
            <a:off x="3051464" y="160193"/>
            <a:ext cx="374073" cy="374073"/>
          </a:xfrm>
          <a:prstGeom prst="ellipse">
            <a:avLst/>
          </a:prstGeom>
          <a:solidFill>
            <a:srgbClr val="F2F5F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pic>
        <xdr:nvPicPr>
          <xdr:cNvPr id="7" name="Image 6" descr="Une image contenant jouet&#10;&#10;Description générée automatiquement">
            <a:extLst>
              <a:ext uri="{FF2B5EF4-FFF2-40B4-BE49-F238E27FC236}">
                <a16:creationId xmlns:a16="http://schemas.microsoft.com/office/drawing/2014/main" id="{26F28027-E45D-2DAF-4B69-5886304FCAD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4125" t="36700" r="36908" b="36027"/>
          <a:stretch/>
        </xdr:blipFill>
        <xdr:spPr>
          <a:xfrm>
            <a:off x="3052330" y="181841"/>
            <a:ext cx="324555" cy="298740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228600</xdr:colOff>
      <xdr:row>0</xdr:row>
      <xdr:rowOff>114300</xdr:rowOff>
    </xdr:from>
    <xdr:to>
      <xdr:col>3</xdr:col>
      <xdr:colOff>619125</xdr:colOff>
      <xdr:row>0</xdr:row>
      <xdr:rowOff>581025</xdr:rowOff>
    </xdr:to>
    <xdr:grpSp>
      <xdr:nvGrpSpPr>
        <xdr:cNvPr id="8" name="Groupe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1F5ED85-1B94-4542-835D-70DA1C930781}"/>
            </a:ext>
          </a:extLst>
        </xdr:cNvPr>
        <xdr:cNvGrpSpPr/>
      </xdr:nvGrpSpPr>
      <xdr:grpSpPr>
        <a:xfrm>
          <a:off x="1021080" y="114300"/>
          <a:ext cx="1975485" cy="466725"/>
          <a:chOff x="990600" y="114300"/>
          <a:chExt cx="1914525" cy="466725"/>
        </a:xfrm>
      </xdr:grpSpPr>
      <xdr:sp macro="" textlink="">
        <xdr:nvSpPr>
          <xdr:cNvPr id="9" name="Rectangle : coins arrondis 8">
            <a:extLst>
              <a:ext uri="{FF2B5EF4-FFF2-40B4-BE49-F238E27FC236}">
                <a16:creationId xmlns:a16="http://schemas.microsoft.com/office/drawing/2014/main" id="{632627AB-415A-C063-F5B8-62C2E3F46DDE}"/>
              </a:ext>
            </a:extLst>
          </xdr:cNvPr>
          <xdr:cNvSpPr/>
        </xdr:nvSpPr>
        <xdr:spPr>
          <a:xfrm>
            <a:off x="990600" y="114300"/>
            <a:ext cx="1914525" cy="466725"/>
          </a:xfrm>
          <a:prstGeom prst="roundRect">
            <a:avLst>
              <a:gd name="adj" fmla="val 50000"/>
            </a:avLst>
          </a:prstGeom>
          <a:solidFill>
            <a:srgbClr val="8CA999"/>
          </a:solidFill>
          <a:ln>
            <a:solidFill>
              <a:srgbClr val="F2F5F7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fr-FR" sz="1800" b="1">
                <a:solidFill>
                  <a:srgbClr val="268373"/>
                </a:solidFill>
              </a:rPr>
              <a:t>Tableau bord</a:t>
            </a:r>
          </a:p>
        </xdr:txBody>
      </xdr:sp>
      <xdr:sp macro="" textlink="">
        <xdr:nvSpPr>
          <xdr:cNvPr id="10" name="Ellipse 9">
            <a:extLst>
              <a:ext uri="{FF2B5EF4-FFF2-40B4-BE49-F238E27FC236}">
                <a16:creationId xmlns:a16="http://schemas.microsoft.com/office/drawing/2014/main" id="{169AB202-5B99-1657-2BE7-042C6F0EE7B6}"/>
              </a:ext>
            </a:extLst>
          </xdr:cNvPr>
          <xdr:cNvSpPr/>
        </xdr:nvSpPr>
        <xdr:spPr>
          <a:xfrm>
            <a:off x="1050348" y="163657"/>
            <a:ext cx="374073" cy="374073"/>
          </a:xfrm>
          <a:prstGeom prst="ellipse">
            <a:avLst/>
          </a:prstGeom>
          <a:solidFill>
            <a:srgbClr val="F2F5F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pic>
        <xdr:nvPicPr>
          <xdr:cNvPr id="11" name="Image 10" descr="Une image contenant jouet&#10;&#10;Description générée automatiquement">
            <a:extLst>
              <a:ext uri="{FF2B5EF4-FFF2-40B4-BE49-F238E27FC236}">
                <a16:creationId xmlns:a16="http://schemas.microsoft.com/office/drawing/2014/main" id="{3FF1A4A7-C1F5-4E70-D520-2CDBBC98C2D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0028" t="66263" r="72526" b="8148"/>
          <a:stretch/>
        </xdr:blipFill>
        <xdr:spPr>
          <a:xfrm>
            <a:off x="1130011" y="181841"/>
            <a:ext cx="229466" cy="329045"/>
          </a:xfrm>
          <a:prstGeom prst="rect">
            <a:avLst/>
          </a:prstGeom>
        </xdr:spPr>
      </xdr:pic>
    </xdr:grpSp>
    <xdr:clientData/>
  </xdr:twoCellAnchor>
  <xdr:twoCellAnchor editAs="oneCell">
    <xdr:from>
      <xdr:col>7</xdr:col>
      <xdr:colOff>18183</xdr:colOff>
      <xdr:row>0</xdr:row>
      <xdr:rowOff>98713</xdr:rowOff>
    </xdr:from>
    <xdr:to>
      <xdr:col>9</xdr:col>
      <xdr:colOff>408708</xdr:colOff>
      <xdr:row>0</xdr:row>
      <xdr:rowOff>565438</xdr:rowOff>
    </xdr:to>
    <xdr:grpSp>
      <xdr:nvGrpSpPr>
        <xdr:cNvPr id="12" name="Groupe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4BE6BC6-64BC-4A5C-A9F1-1F43371A82F3}"/>
            </a:ext>
          </a:extLst>
        </xdr:cNvPr>
        <xdr:cNvGrpSpPr/>
      </xdr:nvGrpSpPr>
      <xdr:grpSpPr>
        <a:xfrm>
          <a:off x="5565543" y="98713"/>
          <a:ext cx="1975485" cy="466725"/>
          <a:chOff x="5352183" y="98713"/>
          <a:chExt cx="1914525" cy="466725"/>
        </a:xfrm>
      </xdr:grpSpPr>
      <xdr:sp macro="" textlink="">
        <xdr:nvSpPr>
          <xdr:cNvPr id="13" name="Rectangle : coins arrondis 12">
            <a:extLst>
              <a:ext uri="{FF2B5EF4-FFF2-40B4-BE49-F238E27FC236}">
                <a16:creationId xmlns:a16="http://schemas.microsoft.com/office/drawing/2014/main" id="{BA818F25-80C7-FE72-E24C-9BBD1322BD49}"/>
              </a:ext>
            </a:extLst>
          </xdr:cNvPr>
          <xdr:cNvSpPr/>
        </xdr:nvSpPr>
        <xdr:spPr>
          <a:xfrm>
            <a:off x="5352183" y="98713"/>
            <a:ext cx="1914525" cy="466725"/>
          </a:xfrm>
          <a:prstGeom prst="roundRect">
            <a:avLst>
              <a:gd name="adj" fmla="val 50000"/>
            </a:avLst>
          </a:prstGeom>
          <a:solidFill>
            <a:srgbClr val="8CA999"/>
          </a:solidFill>
          <a:ln>
            <a:solidFill>
              <a:srgbClr val="F2F5F7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fr-FR" sz="1800" b="1">
                <a:solidFill>
                  <a:srgbClr val="268373"/>
                </a:solidFill>
              </a:rPr>
              <a:t>Contats mail</a:t>
            </a:r>
          </a:p>
        </xdr:txBody>
      </xdr:sp>
      <xdr:sp macro="" textlink="">
        <xdr:nvSpPr>
          <xdr:cNvPr id="14" name="Ellipse 13">
            <a:extLst>
              <a:ext uri="{FF2B5EF4-FFF2-40B4-BE49-F238E27FC236}">
                <a16:creationId xmlns:a16="http://schemas.microsoft.com/office/drawing/2014/main" id="{5D02E1F7-0C84-A153-7D56-E81B83D5E628}"/>
              </a:ext>
            </a:extLst>
          </xdr:cNvPr>
          <xdr:cNvSpPr/>
        </xdr:nvSpPr>
        <xdr:spPr>
          <a:xfrm>
            <a:off x="5411931" y="148070"/>
            <a:ext cx="374073" cy="374073"/>
          </a:xfrm>
          <a:prstGeom prst="ellipse">
            <a:avLst/>
          </a:prstGeom>
          <a:solidFill>
            <a:srgbClr val="F2F5F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pic>
        <xdr:nvPicPr>
          <xdr:cNvPr id="15" name="Image 14" descr="Une image contenant jouet&#10;&#10;Description générée automatiquement">
            <a:extLst>
              <a:ext uri="{FF2B5EF4-FFF2-40B4-BE49-F238E27FC236}">
                <a16:creationId xmlns:a16="http://schemas.microsoft.com/office/drawing/2014/main" id="{4606CD10-DFB7-CD02-953E-E6CE2AE38BA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7899" t="71246" r="4279" b="7744"/>
          <a:stretch/>
        </xdr:blipFill>
        <xdr:spPr>
          <a:xfrm>
            <a:off x="5424920" y="203489"/>
            <a:ext cx="365937" cy="270163"/>
          </a:xfrm>
          <a:prstGeom prst="rect">
            <a:avLst/>
          </a:prstGeom>
        </xdr:spPr>
      </xdr:pic>
    </xdr:grpSp>
    <xdr:clientData/>
  </xdr:twoCellAnchor>
  <xdr:twoCellAnchor editAs="oneCell">
    <xdr:from>
      <xdr:col>9</xdr:col>
      <xdr:colOff>521278</xdr:colOff>
      <xdr:row>0</xdr:row>
      <xdr:rowOff>82261</xdr:rowOff>
    </xdr:from>
    <xdr:to>
      <xdr:col>12</xdr:col>
      <xdr:colOff>199159</xdr:colOff>
      <xdr:row>0</xdr:row>
      <xdr:rowOff>548986</xdr:rowOff>
    </xdr:to>
    <xdr:grpSp>
      <xdr:nvGrpSpPr>
        <xdr:cNvPr id="16" name="Groupe 1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278814F-D727-4A83-8D2B-D598048A8F3D}"/>
            </a:ext>
          </a:extLst>
        </xdr:cNvPr>
        <xdr:cNvGrpSpPr/>
      </xdr:nvGrpSpPr>
      <xdr:grpSpPr>
        <a:xfrm>
          <a:off x="7653598" y="82261"/>
          <a:ext cx="2055321" cy="466725"/>
          <a:chOff x="7379278" y="82261"/>
          <a:chExt cx="1963881" cy="466725"/>
        </a:xfrm>
      </xdr:grpSpPr>
      <xdr:sp macro="" textlink="">
        <xdr:nvSpPr>
          <xdr:cNvPr id="17" name="Rectangle : coins arrondis 16">
            <a:extLst>
              <a:ext uri="{FF2B5EF4-FFF2-40B4-BE49-F238E27FC236}">
                <a16:creationId xmlns:a16="http://schemas.microsoft.com/office/drawing/2014/main" id="{A5275D31-80F2-C3BE-D7AF-60F10FF6BCD7}"/>
              </a:ext>
            </a:extLst>
          </xdr:cNvPr>
          <xdr:cNvSpPr/>
        </xdr:nvSpPr>
        <xdr:spPr>
          <a:xfrm>
            <a:off x="7379278" y="82261"/>
            <a:ext cx="1963881" cy="466725"/>
          </a:xfrm>
          <a:prstGeom prst="roundRect">
            <a:avLst>
              <a:gd name="adj" fmla="val 50000"/>
            </a:avLst>
          </a:prstGeom>
          <a:solidFill>
            <a:srgbClr val="268373"/>
          </a:solidFill>
          <a:ln>
            <a:solidFill>
              <a:srgbClr val="F2F5F7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fr-FR" sz="1800" b="1">
                <a:solidFill>
                  <a:srgbClr val="F2F5F7"/>
                </a:solidFill>
              </a:rPr>
              <a:t>Base</a:t>
            </a:r>
            <a:r>
              <a:rPr lang="fr-FR" sz="1800" b="1" baseline="0">
                <a:solidFill>
                  <a:srgbClr val="F2F5F7"/>
                </a:solidFill>
              </a:rPr>
              <a:t> données</a:t>
            </a:r>
            <a:endParaRPr lang="fr-FR" sz="1800" b="1">
              <a:solidFill>
                <a:srgbClr val="F2F5F7"/>
              </a:solidFill>
            </a:endParaRPr>
          </a:p>
        </xdr:txBody>
      </xdr:sp>
      <xdr:sp macro="" textlink="">
        <xdr:nvSpPr>
          <xdr:cNvPr id="18" name="Ellipse 17">
            <a:extLst>
              <a:ext uri="{FF2B5EF4-FFF2-40B4-BE49-F238E27FC236}">
                <a16:creationId xmlns:a16="http://schemas.microsoft.com/office/drawing/2014/main" id="{0CB3BD17-F9D0-1DAC-D7D1-339B5F05CB96}"/>
              </a:ext>
            </a:extLst>
          </xdr:cNvPr>
          <xdr:cNvSpPr/>
        </xdr:nvSpPr>
        <xdr:spPr>
          <a:xfrm>
            <a:off x="7439026" y="131618"/>
            <a:ext cx="374073" cy="374073"/>
          </a:xfrm>
          <a:prstGeom prst="ellipse">
            <a:avLst/>
          </a:prstGeom>
          <a:solidFill>
            <a:srgbClr val="F2F5F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pic>
        <xdr:nvPicPr>
          <xdr:cNvPr id="19" name="Image 18" descr="Une image contenant jouet&#10;&#10;Description générée automatiquement">
            <a:extLst>
              <a:ext uri="{FF2B5EF4-FFF2-40B4-BE49-F238E27FC236}">
                <a16:creationId xmlns:a16="http://schemas.microsoft.com/office/drawing/2014/main" id="{ABF503B2-4665-289E-E413-ACDDE6B684A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70137" t="7879" r="12088" b="66869"/>
          <a:stretch/>
        </xdr:blipFill>
        <xdr:spPr>
          <a:xfrm>
            <a:off x="7507432" y="164524"/>
            <a:ext cx="221325" cy="307397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28577</xdr:rowOff>
    </xdr:from>
    <xdr:to>
      <xdr:col>0</xdr:col>
      <xdr:colOff>685800</xdr:colOff>
      <xdr:row>0</xdr:row>
      <xdr:rowOff>600079</xdr:rowOff>
    </xdr:to>
    <xdr:sp macro="" textlink="">
      <xdr:nvSpPr>
        <xdr:cNvPr id="2" name="Rectangle : avec coins arrondis en haut 1">
          <a:extLst>
            <a:ext uri="{FF2B5EF4-FFF2-40B4-BE49-F238E27FC236}">
              <a16:creationId xmlns:a16="http://schemas.microsoft.com/office/drawing/2014/main" id="{A43D9E10-3700-4849-812D-C6E60BB4663F}"/>
            </a:ext>
          </a:extLst>
        </xdr:cNvPr>
        <xdr:cNvSpPr/>
      </xdr:nvSpPr>
      <xdr:spPr>
        <a:xfrm rot="5400000">
          <a:off x="57149" y="-28572"/>
          <a:ext cx="571502" cy="685800"/>
        </a:xfrm>
        <a:prstGeom prst="round2SameRect">
          <a:avLst>
            <a:gd name="adj1" fmla="val 50000"/>
            <a:gd name="adj2" fmla="val 0"/>
          </a:avLst>
        </a:prstGeom>
        <a:solidFill>
          <a:srgbClr val="F2F5F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oneCell">
    <xdr:from>
      <xdr:col>0</xdr:col>
      <xdr:colOff>112569</xdr:colOff>
      <xdr:row>0</xdr:row>
      <xdr:rowOff>35893</xdr:rowOff>
    </xdr:from>
    <xdr:to>
      <xdr:col>0</xdr:col>
      <xdr:colOff>665727</xdr:colOff>
      <xdr:row>0</xdr:row>
      <xdr:rowOff>601776</xdr:rowOff>
    </xdr:to>
    <xdr:pic>
      <xdr:nvPicPr>
        <xdr:cNvPr id="3" name="Image 2" descr="Une image contenant balle, Caractère coloré, sphère&#10;&#10;Description générée automatiqueme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1218F7-878D-4156-B681-D7A2E85C6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569" y="35893"/>
          <a:ext cx="553158" cy="565883"/>
        </a:xfrm>
        <a:prstGeom prst="rect">
          <a:avLst/>
        </a:prstGeom>
      </xdr:spPr>
    </xdr:pic>
    <xdr:clientData/>
  </xdr:twoCellAnchor>
  <xdr:twoCellAnchor editAs="oneCell">
    <xdr:from>
      <xdr:col>3</xdr:col>
      <xdr:colOff>705716</xdr:colOff>
      <xdr:row>0</xdr:row>
      <xdr:rowOff>110836</xdr:rowOff>
    </xdr:from>
    <xdr:to>
      <xdr:col>6</xdr:col>
      <xdr:colOff>259773</xdr:colOff>
      <xdr:row>0</xdr:row>
      <xdr:rowOff>577561</xdr:rowOff>
    </xdr:to>
    <xdr:grpSp>
      <xdr:nvGrpSpPr>
        <xdr:cNvPr id="4" name="Group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5C5C7E2-47CD-4D78-BC5A-21AED1DCBA73}"/>
            </a:ext>
          </a:extLst>
        </xdr:cNvPr>
        <xdr:cNvGrpSpPr/>
      </xdr:nvGrpSpPr>
      <xdr:grpSpPr>
        <a:xfrm>
          <a:off x="3090776" y="110836"/>
          <a:ext cx="2350597" cy="466725"/>
          <a:chOff x="2991716" y="110836"/>
          <a:chExt cx="2268682" cy="466725"/>
        </a:xfrm>
      </xdr:grpSpPr>
      <xdr:sp macro="" textlink="">
        <xdr:nvSpPr>
          <xdr:cNvPr id="5" name="Rectangle : coins arrondis 4">
            <a:extLst>
              <a:ext uri="{FF2B5EF4-FFF2-40B4-BE49-F238E27FC236}">
                <a16:creationId xmlns:a16="http://schemas.microsoft.com/office/drawing/2014/main" id="{183829D4-A607-C9F5-7FE9-808BCA523D1F}"/>
              </a:ext>
            </a:extLst>
          </xdr:cNvPr>
          <xdr:cNvSpPr/>
        </xdr:nvSpPr>
        <xdr:spPr>
          <a:xfrm>
            <a:off x="2991716" y="110836"/>
            <a:ext cx="2268682" cy="466725"/>
          </a:xfrm>
          <a:prstGeom prst="roundRect">
            <a:avLst>
              <a:gd name="adj" fmla="val 50000"/>
            </a:avLst>
          </a:prstGeom>
          <a:solidFill>
            <a:srgbClr val="8CA999"/>
          </a:solidFill>
          <a:ln>
            <a:solidFill>
              <a:srgbClr val="F2F5F7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fr-FR" sz="1800" b="1">
                <a:solidFill>
                  <a:srgbClr val="268373"/>
                </a:solidFill>
              </a:rPr>
              <a:t>Données traitées</a:t>
            </a:r>
          </a:p>
        </xdr:txBody>
      </xdr:sp>
      <xdr:sp macro="" textlink="">
        <xdr:nvSpPr>
          <xdr:cNvPr id="6" name="Ellipse 5">
            <a:extLst>
              <a:ext uri="{FF2B5EF4-FFF2-40B4-BE49-F238E27FC236}">
                <a16:creationId xmlns:a16="http://schemas.microsoft.com/office/drawing/2014/main" id="{6B67F952-43B9-46AF-BA4A-AEF657007DD1}"/>
              </a:ext>
            </a:extLst>
          </xdr:cNvPr>
          <xdr:cNvSpPr/>
        </xdr:nvSpPr>
        <xdr:spPr>
          <a:xfrm>
            <a:off x="3051464" y="160193"/>
            <a:ext cx="374073" cy="374073"/>
          </a:xfrm>
          <a:prstGeom prst="ellipse">
            <a:avLst/>
          </a:prstGeom>
          <a:solidFill>
            <a:srgbClr val="F2F5F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pic>
        <xdr:nvPicPr>
          <xdr:cNvPr id="7" name="Image 6" descr="Une image contenant jouet&#10;&#10;Description générée automatiquement">
            <a:extLst>
              <a:ext uri="{FF2B5EF4-FFF2-40B4-BE49-F238E27FC236}">
                <a16:creationId xmlns:a16="http://schemas.microsoft.com/office/drawing/2014/main" id="{1BF5D9F6-4166-1584-6883-E44A547DFD5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4125" t="36700" r="36908" b="36027"/>
          <a:stretch/>
        </xdr:blipFill>
        <xdr:spPr>
          <a:xfrm>
            <a:off x="3052330" y="181841"/>
            <a:ext cx="324555" cy="298740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228600</xdr:colOff>
      <xdr:row>0</xdr:row>
      <xdr:rowOff>114300</xdr:rowOff>
    </xdr:from>
    <xdr:to>
      <xdr:col>3</xdr:col>
      <xdr:colOff>590550</xdr:colOff>
      <xdr:row>0</xdr:row>
      <xdr:rowOff>581025</xdr:rowOff>
    </xdr:to>
    <xdr:grpSp>
      <xdr:nvGrpSpPr>
        <xdr:cNvPr id="8" name="Groupe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AA9CA59-3E11-4B42-AE98-38CE767C4A8D}"/>
            </a:ext>
          </a:extLst>
        </xdr:cNvPr>
        <xdr:cNvGrpSpPr/>
      </xdr:nvGrpSpPr>
      <xdr:grpSpPr>
        <a:xfrm>
          <a:off x="1013460" y="114300"/>
          <a:ext cx="1962150" cy="466725"/>
          <a:chOff x="990600" y="114300"/>
          <a:chExt cx="1914525" cy="466725"/>
        </a:xfrm>
      </xdr:grpSpPr>
      <xdr:sp macro="" textlink="">
        <xdr:nvSpPr>
          <xdr:cNvPr id="9" name="Rectangle : coins arrondis 8">
            <a:extLst>
              <a:ext uri="{FF2B5EF4-FFF2-40B4-BE49-F238E27FC236}">
                <a16:creationId xmlns:a16="http://schemas.microsoft.com/office/drawing/2014/main" id="{759FB172-9913-4AC7-7E86-8C7E7B5C5633}"/>
              </a:ext>
            </a:extLst>
          </xdr:cNvPr>
          <xdr:cNvSpPr/>
        </xdr:nvSpPr>
        <xdr:spPr>
          <a:xfrm>
            <a:off x="990600" y="114300"/>
            <a:ext cx="1914525" cy="466725"/>
          </a:xfrm>
          <a:prstGeom prst="roundRect">
            <a:avLst>
              <a:gd name="adj" fmla="val 50000"/>
            </a:avLst>
          </a:prstGeom>
          <a:solidFill>
            <a:srgbClr val="8CA999"/>
          </a:solidFill>
          <a:ln>
            <a:solidFill>
              <a:srgbClr val="F2F5F7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fr-FR" sz="1800" b="1">
                <a:solidFill>
                  <a:srgbClr val="268373"/>
                </a:solidFill>
              </a:rPr>
              <a:t>Tableau bord</a:t>
            </a:r>
          </a:p>
        </xdr:txBody>
      </xdr:sp>
      <xdr:sp macro="" textlink="">
        <xdr:nvSpPr>
          <xdr:cNvPr id="10" name="Ellipse 9">
            <a:extLst>
              <a:ext uri="{FF2B5EF4-FFF2-40B4-BE49-F238E27FC236}">
                <a16:creationId xmlns:a16="http://schemas.microsoft.com/office/drawing/2014/main" id="{D42B2FF1-9C00-F38F-D846-D43EEF08D89A}"/>
              </a:ext>
            </a:extLst>
          </xdr:cNvPr>
          <xdr:cNvSpPr/>
        </xdr:nvSpPr>
        <xdr:spPr>
          <a:xfrm>
            <a:off x="1050348" y="163657"/>
            <a:ext cx="374073" cy="374073"/>
          </a:xfrm>
          <a:prstGeom prst="ellipse">
            <a:avLst/>
          </a:prstGeom>
          <a:solidFill>
            <a:srgbClr val="F2F5F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pic>
        <xdr:nvPicPr>
          <xdr:cNvPr id="11" name="Image 10" descr="Une image contenant jouet&#10;&#10;Description générée automatiquement">
            <a:extLst>
              <a:ext uri="{FF2B5EF4-FFF2-40B4-BE49-F238E27FC236}">
                <a16:creationId xmlns:a16="http://schemas.microsoft.com/office/drawing/2014/main" id="{8EE7CEBF-5DAE-265E-8813-85B85440ADC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0028" t="66263" r="72526" b="8148"/>
          <a:stretch/>
        </xdr:blipFill>
        <xdr:spPr>
          <a:xfrm>
            <a:off x="1130011" y="181841"/>
            <a:ext cx="229466" cy="329045"/>
          </a:xfrm>
          <a:prstGeom prst="rect">
            <a:avLst/>
          </a:prstGeom>
        </xdr:spPr>
      </xdr:pic>
    </xdr:grpSp>
    <xdr:clientData/>
  </xdr:twoCellAnchor>
  <xdr:twoCellAnchor editAs="oneCell">
    <xdr:from>
      <xdr:col>7</xdr:col>
      <xdr:colOff>18183</xdr:colOff>
      <xdr:row>0</xdr:row>
      <xdr:rowOff>98713</xdr:rowOff>
    </xdr:from>
    <xdr:to>
      <xdr:col>8</xdr:col>
      <xdr:colOff>1151658</xdr:colOff>
      <xdr:row>0</xdr:row>
      <xdr:rowOff>565438</xdr:rowOff>
    </xdr:to>
    <xdr:grpSp>
      <xdr:nvGrpSpPr>
        <xdr:cNvPr id="12" name="Groupe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5AD8249-6E45-4F6E-8E9D-C943E43971AA}"/>
            </a:ext>
          </a:extLst>
        </xdr:cNvPr>
        <xdr:cNvGrpSpPr/>
      </xdr:nvGrpSpPr>
      <xdr:grpSpPr>
        <a:xfrm>
          <a:off x="6289443" y="98713"/>
          <a:ext cx="1933575" cy="466725"/>
          <a:chOff x="5352183" y="98713"/>
          <a:chExt cx="1914525" cy="466725"/>
        </a:xfrm>
      </xdr:grpSpPr>
      <xdr:sp macro="" textlink="">
        <xdr:nvSpPr>
          <xdr:cNvPr id="13" name="Rectangle : coins arrondis 12">
            <a:extLst>
              <a:ext uri="{FF2B5EF4-FFF2-40B4-BE49-F238E27FC236}">
                <a16:creationId xmlns:a16="http://schemas.microsoft.com/office/drawing/2014/main" id="{EF054C90-E803-D2D5-645A-C61803DB9A45}"/>
              </a:ext>
            </a:extLst>
          </xdr:cNvPr>
          <xdr:cNvSpPr/>
        </xdr:nvSpPr>
        <xdr:spPr>
          <a:xfrm>
            <a:off x="5352183" y="98713"/>
            <a:ext cx="1914525" cy="466725"/>
          </a:xfrm>
          <a:prstGeom prst="roundRect">
            <a:avLst>
              <a:gd name="adj" fmla="val 50000"/>
            </a:avLst>
          </a:prstGeom>
          <a:solidFill>
            <a:srgbClr val="8CA999"/>
          </a:solidFill>
          <a:ln>
            <a:solidFill>
              <a:srgbClr val="F2F5F7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fr-FR" sz="1800" b="1">
                <a:solidFill>
                  <a:srgbClr val="268373"/>
                </a:solidFill>
              </a:rPr>
              <a:t>Contats mail</a:t>
            </a:r>
          </a:p>
        </xdr:txBody>
      </xdr:sp>
      <xdr:sp macro="" textlink="">
        <xdr:nvSpPr>
          <xdr:cNvPr id="14" name="Ellipse 13">
            <a:extLst>
              <a:ext uri="{FF2B5EF4-FFF2-40B4-BE49-F238E27FC236}">
                <a16:creationId xmlns:a16="http://schemas.microsoft.com/office/drawing/2014/main" id="{147DB5BE-ECA3-29DC-2D8F-403F83E28F9F}"/>
              </a:ext>
            </a:extLst>
          </xdr:cNvPr>
          <xdr:cNvSpPr/>
        </xdr:nvSpPr>
        <xdr:spPr>
          <a:xfrm>
            <a:off x="5411931" y="148070"/>
            <a:ext cx="374073" cy="374073"/>
          </a:xfrm>
          <a:prstGeom prst="ellipse">
            <a:avLst/>
          </a:prstGeom>
          <a:solidFill>
            <a:srgbClr val="F2F5F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pic>
        <xdr:nvPicPr>
          <xdr:cNvPr id="15" name="Image 14" descr="Une image contenant jouet&#10;&#10;Description générée automatiquement">
            <a:extLst>
              <a:ext uri="{FF2B5EF4-FFF2-40B4-BE49-F238E27FC236}">
                <a16:creationId xmlns:a16="http://schemas.microsoft.com/office/drawing/2014/main" id="{9CADF6CC-A927-490D-91EF-2D2403611E4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7899" t="71246" r="4279" b="7744"/>
          <a:stretch/>
        </xdr:blipFill>
        <xdr:spPr>
          <a:xfrm>
            <a:off x="5424920" y="203489"/>
            <a:ext cx="365937" cy="270163"/>
          </a:xfrm>
          <a:prstGeom prst="rect">
            <a:avLst/>
          </a:prstGeom>
        </xdr:spPr>
      </xdr:pic>
    </xdr:grpSp>
    <xdr:clientData/>
  </xdr:twoCellAnchor>
  <xdr:twoCellAnchor editAs="oneCell">
    <xdr:from>
      <xdr:col>9</xdr:col>
      <xdr:colOff>521278</xdr:colOff>
      <xdr:row>0</xdr:row>
      <xdr:rowOff>82261</xdr:rowOff>
    </xdr:from>
    <xdr:to>
      <xdr:col>10</xdr:col>
      <xdr:colOff>1418359</xdr:colOff>
      <xdr:row>0</xdr:row>
      <xdr:rowOff>548986</xdr:rowOff>
    </xdr:to>
    <xdr:grpSp>
      <xdr:nvGrpSpPr>
        <xdr:cNvPr id="16" name="Groupe 1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76B0514-957A-43B3-ABDF-496AFDA77D13}"/>
            </a:ext>
          </a:extLst>
        </xdr:cNvPr>
        <xdr:cNvGrpSpPr/>
      </xdr:nvGrpSpPr>
      <xdr:grpSpPr>
        <a:xfrm>
          <a:off x="8987098" y="82261"/>
          <a:ext cx="1994361" cy="466725"/>
          <a:chOff x="7379278" y="82261"/>
          <a:chExt cx="1963881" cy="466725"/>
        </a:xfrm>
      </xdr:grpSpPr>
      <xdr:sp macro="" textlink="">
        <xdr:nvSpPr>
          <xdr:cNvPr id="17" name="Rectangle : coins arrondis 16">
            <a:extLst>
              <a:ext uri="{FF2B5EF4-FFF2-40B4-BE49-F238E27FC236}">
                <a16:creationId xmlns:a16="http://schemas.microsoft.com/office/drawing/2014/main" id="{41D33E22-7AA7-1778-6170-6626CC412FA1}"/>
              </a:ext>
            </a:extLst>
          </xdr:cNvPr>
          <xdr:cNvSpPr/>
        </xdr:nvSpPr>
        <xdr:spPr>
          <a:xfrm>
            <a:off x="7379278" y="82261"/>
            <a:ext cx="1963881" cy="466725"/>
          </a:xfrm>
          <a:prstGeom prst="roundRect">
            <a:avLst>
              <a:gd name="adj" fmla="val 50000"/>
            </a:avLst>
          </a:prstGeom>
          <a:solidFill>
            <a:srgbClr val="268373"/>
          </a:solidFill>
          <a:ln>
            <a:solidFill>
              <a:srgbClr val="F2F5F7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fr-FR" sz="1800" b="1">
                <a:solidFill>
                  <a:srgbClr val="F2F5F7"/>
                </a:solidFill>
              </a:rPr>
              <a:t>Base</a:t>
            </a:r>
            <a:r>
              <a:rPr lang="fr-FR" sz="1800" b="1" baseline="0">
                <a:solidFill>
                  <a:srgbClr val="F2F5F7"/>
                </a:solidFill>
              </a:rPr>
              <a:t> données</a:t>
            </a:r>
            <a:endParaRPr lang="fr-FR" sz="1800" b="1">
              <a:solidFill>
                <a:srgbClr val="F2F5F7"/>
              </a:solidFill>
            </a:endParaRPr>
          </a:p>
        </xdr:txBody>
      </xdr:sp>
      <xdr:sp macro="" textlink="">
        <xdr:nvSpPr>
          <xdr:cNvPr id="18" name="Ellipse 17">
            <a:extLst>
              <a:ext uri="{FF2B5EF4-FFF2-40B4-BE49-F238E27FC236}">
                <a16:creationId xmlns:a16="http://schemas.microsoft.com/office/drawing/2014/main" id="{6E4E0A80-0633-6D70-4BE4-B806E7B519C2}"/>
              </a:ext>
            </a:extLst>
          </xdr:cNvPr>
          <xdr:cNvSpPr/>
        </xdr:nvSpPr>
        <xdr:spPr>
          <a:xfrm>
            <a:off x="7439026" y="131618"/>
            <a:ext cx="374073" cy="374073"/>
          </a:xfrm>
          <a:prstGeom prst="ellipse">
            <a:avLst/>
          </a:prstGeom>
          <a:solidFill>
            <a:srgbClr val="F2F5F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pic>
        <xdr:nvPicPr>
          <xdr:cNvPr id="19" name="Image 18" descr="Une image contenant jouet&#10;&#10;Description générée automatiquement">
            <a:extLst>
              <a:ext uri="{FF2B5EF4-FFF2-40B4-BE49-F238E27FC236}">
                <a16:creationId xmlns:a16="http://schemas.microsoft.com/office/drawing/2014/main" id="{841AC32A-12A6-5232-AA7D-64448C93596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70137" t="7879" r="12088" b="66869"/>
          <a:stretch/>
        </xdr:blipFill>
        <xdr:spPr>
          <a:xfrm>
            <a:off x="7507432" y="164524"/>
            <a:ext cx="221325" cy="307397"/>
          </a:xfrm>
          <a:prstGeom prst="rect">
            <a:avLst/>
          </a:prstGeom>
        </xdr:spPr>
      </xdr:pic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erre CAILLE" refreshedDate="45253.4227650463" createdVersion="8" refreshedVersion="8" minRefreshableVersion="3" recordCount="63" xr:uid="{FD30D743-9033-4688-AF53-3481864E51FF}">
  <cacheSource type="worksheet">
    <worksheetSource name="Tableau1"/>
  </cacheSource>
  <cacheFields count="18">
    <cacheField name="Mois" numFmtId="164">
      <sharedItems containsSemiMixedTypes="0" containsNonDate="0" containsDate="1" containsString="0" minDate="2023-01-01T00:00:00" maxDate="2023-09-02T00:00:00" count="9"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</sharedItems>
      <fieldGroup par="17"/>
    </cacheField>
    <cacheField name="Pays" numFmtId="0">
      <sharedItems count="7">
        <s v="Belgique"/>
        <s v="France"/>
        <s v="Allemagne"/>
        <s v="Italie"/>
        <s v="Portugal"/>
        <s v="Espagne"/>
        <s v="Suisse"/>
      </sharedItems>
    </cacheField>
    <cacheField name="Objectif" numFmtId="165">
      <sharedItems containsSemiMixedTypes="0" containsString="0" containsNumber="1" containsInteger="1" minValue="1500" maxValue="18572"/>
    </cacheField>
    <cacheField name="CA Ventes" numFmtId="165">
      <sharedItems containsSemiMixedTypes="0" containsString="0" containsNumber="1" minValue="1185" maxValue="18191.739999999998"/>
    </cacheField>
    <cacheField name="Bénéfices" numFmtId="165">
      <sharedItems containsSemiMixedTypes="0" containsString="0" containsNumber="1" minValue="468.07500000000005" maxValue="8574.5186999999987"/>
    </cacheField>
    <cacheField name="Revenus Cibles" numFmtId="165">
      <sharedItems containsSemiMixedTypes="0" containsString="0" containsNumber="1" minValue="600" maxValue="7428.8"/>
    </cacheField>
    <cacheField name="Nombre client" numFmtId="0">
      <sharedItems containsSemiMixedTypes="0" containsString="0" containsNumber="1" containsInteger="1" minValue="15" maxValue="310"/>
    </cacheField>
    <cacheField name="Trimestre" numFmtId="0">
      <sharedItems count="3">
        <s v="Trimestre  1"/>
        <s v="Trimestre  2"/>
        <s v="Trimestre  3"/>
      </sharedItems>
    </cacheField>
    <cacheField name="Taux concrétisation" numFmtId="9">
      <sharedItems containsSemiMixedTypes="0" containsString="0" containsNumber="1" minValue="0.7" maxValue="0.99"/>
    </cacheField>
    <cacheField name="Taux de marge" numFmtId="9">
      <sharedItems containsSemiMixedTypes="0" containsString="0" containsNumber="1" minValue="0.35" maxValue="0.495"/>
    </cacheField>
    <cacheField name="Taux satisfaction client" numFmtId="9">
      <sharedItems containsSemiMixedTypes="0" containsString="0" containsNumber="1" minValue="0.55999999999999994" maxValue="0.85799999999999998"/>
    </cacheField>
    <cacheField name="Qualité" numFmtId="9">
      <sharedItems containsSemiMixedTypes="0" containsString="0" containsNumber="1" minValue="0.35" maxValue="0.97"/>
    </cacheField>
    <cacheField name="Délais" numFmtId="9">
      <sharedItems containsSemiMixedTypes="0" containsString="0" containsNumber="1" minValue="0.47" maxValue="0.95"/>
    </cacheField>
    <cacheField name="Disponibilité" numFmtId="9">
      <sharedItems containsSemiMixedTypes="0" containsString="0" containsNumber="1" minValue="0.6" maxValue="0.9"/>
    </cacheField>
    <cacheField name="Services" numFmtId="9">
      <sharedItems containsSemiMixedTypes="0" containsString="0" containsNumber="1" minValue="0.36" maxValue="0.95"/>
    </cacheField>
    <cacheField name="SAV" numFmtId="9">
      <sharedItems containsSemiMixedTypes="0" containsString="0" containsNumber="1" minValue="0.7" maxValue="0.85"/>
    </cacheField>
    <cacheField name="Jours (Mois)" numFmtId="0" databaseField="0">
      <fieldGroup base="0">
        <rangePr groupBy="days" startDate="2023-01-01T00:00:00" endDate="2023-09-02T00:00:00"/>
        <groupItems count="368">
          <s v="&lt;01/01/2023"/>
          <s v="01-janv"/>
          <s v="02-janv"/>
          <s v="03-janv"/>
          <s v="04-janv"/>
          <s v="05-janv"/>
          <s v="06-janv"/>
          <s v="07-janv"/>
          <s v="08-janv"/>
          <s v="09-janv"/>
          <s v="10-janv"/>
          <s v="11-janv"/>
          <s v="12-janv"/>
          <s v="13-janv"/>
          <s v="14-janv"/>
          <s v="15-janv"/>
          <s v="16-janv"/>
          <s v="17-janv"/>
          <s v="18-janv"/>
          <s v="19-janv"/>
          <s v="20-janv"/>
          <s v="21-janv"/>
          <s v="22-janv"/>
          <s v="23-janv"/>
          <s v="24-janv"/>
          <s v="25-janv"/>
          <s v="26-janv"/>
          <s v="27-janv"/>
          <s v="28-janv"/>
          <s v="29-janv"/>
          <s v="30-janv"/>
          <s v="31-janv"/>
          <s v="01-févr"/>
          <s v="02-févr"/>
          <s v="03-févr"/>
          <s v="04-févr"/>
          <s v="05-févr"/>
          <s v="06-févr"/>
          <s v="07-févr"/>
          <s v="08-févr"/>
          <s v="09-févr"/>
          <s v="10-févr"/>
          <s v="11-févr"/>
          <s v="12-févr"/>
          <s v="13-févr"/>
          <s v="14-févr"/>
          <s v="15-févr"/>
          <s v="16-févr"/>
          <s v="17-févr"/>
          <s v="18-févr"/>
          <s v="19-févr"/>
          <s v="20-févr"/>
          <s v="21-févr"/>
          <s v="22-févr"/>
          <s v="23-févr"/>
          <s v="24-févr"/>
          <s v="25-févr"/>
          <s v="26-févr"/>
          <s v="27-févr"/>
          <s v="28-févr"/>
          <s v="29-févr"/>
          <s v="01-mars"/>
          <s v="02-mars"/>
          <s v="03-mars"/>
          <s v="04-mars"/>
          <s v="05-mars"/>
          <s v="06-mars"/>
          <s v="07-mars"/>
          <s v="08-mars"/>
          <s v="09-mars"/>
          <s v="10-mars"/>
          <s v="11-mars"/>
          <s v="12-mars"/>
          <s v="13-mars"/>
          <s v="14-mars"/>
          <s v="15-mars"/>
          <s v="16-mars"/>
          <s v="17-mars"/>
          <s v="18-mars"/>
          <s v="19-mars"/>
          <s v="20-mars"/>
          <s v="21-mars"/>
          <s v="22-mars"/>
          <s v="23-mars"/>
          <s v="24-mars"/>
          <s v="25-mars"/>
          <s v="26-mars"/>
          <s v="27-mars"/>
          <s v="28-mars"/>
          <s v="29-mars"/>
          <s v="30-mars"/>
          <s v="31-mars"/>
          <s v="01-avr"/>
          <s v="02-avr"/>
          <s v="03-avr"/>
          <s v="04-avr"/>
          <s v="05-avr"/>
          <s v="06-avr"/>
          <s v="07-avr"/>
          <s v="08-avr"/>
          <s v="09-avr"/>
          <s v="10-avr"/>
          <s v="11-avr"/>
          <s v="12-avr"/>
          <s v="13-avr"/>
          <s v="14-avr"/>
          <s v="15-avr"/>
          <s v="16-avr"/>
          <s v="17-avr"/>
          <s v="18-avr"/>
          <s v="19-avr"/>
          <s v="20-avr"/>
          <s v="21-avr"/>
          <s v="22-avr"/>
          <s v="23-avr"/>
          <s v="24-avr"/>
          <s v="25-avr"/>
          <s v="26-avr"/>
          <s v="27-avr"/>
          <s v="28-avr"/>
          <s v="29-avr"/>
          <s v="30-avr"/>
          <s v="01-mai"/>
          <s v="02-mai"/>
          <s v="03-mai"/>
          <s v="04-mai"/>
          <s v="05-mai"/>
          <s v="06-mai"/>
          <s v="07-mai"/>
          <s v="08-mai"/>
          <s v="09-mai"/>
          <s v="10-mai"/>
          <s v="11-mai"/>
          <s v="12-mai"/>
          <s v="13-mai"/>
          <s v="14-mai"/>
          <s v="15-mai"/>
          <s v="16-mai"/>
          <s v="17-mai"/>
          <s v="18-mai"/>
          <s v="19-mai"/>
          <s v="20-mai"/>
          <s v="21-mai"/>
          <s v="22-mai"/>
          <s v="23-mai"/>
          <s v="24-mai"/>
          <s v="25-mai"/>
          <s v="26-mai"/>
          <s v="27-mai"/>
          <s v="28-mai"/>
          <s v="29-mai"/>
          <s v="30-mai"/>
          <s v="31-mai"/>
          <s v="01-juin"/>
          <s v="02-juin"/>
          <s v="03-juin"/>
          <s v="04-juin"/>
          <s v="05-juin"/>
          <s v="06-juin"/>
          <s v="07-juin"/>
          <s v="08-juin"/>
          <s v="09-juin"/>
          <s v="10-juin"/>
          <s v="11-juin"/>
          <s v="12-juin"/>
          <s v="13-juin"/>
          <s v="14-juin"/>
          <s v="15-juin"/>
          <s v="16-juin"/>
          <s v="17-juin"/>
          <s v="18-juin"/>
          <s v="19-juin"/>
          <s v="20-juin"/>
          <s v="21-juin"/>
          <s v="22-juin"/>
          <s v="23-juin"/>
          <s v="24-juin"/>
          <s v="25-juin"/>
          <s v="26-juin"/>
          <s v="27-juin"/>
          <s v="28-juin"/>
          <s v="29-juin"/>
          <s v="30-juin"/>
          <s v="01-juil"/>
          <s v="02-juil"/>
          <s v="03-juil"/>
          <s v="04-juil"/>
          <s v="05-juil"/>
          <s v="06-juil"/>
          <s v="07-juil"/>
          <s v="08-juil"/>
          <s v="09-juil"/>
          <s v="10-juil"/>
          <s v="11-juil"/>
          <s v="12-juil"/>
          <s v="13-juil"/>
          <s v="14-juil"/>
          <s v="15-juil"/>
          <s v="16-juil"/>
          <s v="17-juil"/>
          <s v="18-juil"/>
          <s v="19-juil"/>
          <s v="20-juil"/>
          <s v="21-juil"/>
          <s v="22-juil"/>
          <s v="23-juil"/>
          <s v="24-juil"/>
          <s v="25-juil"/>
          <s v="26-juil"/>
          <s v="27-juil"/>
          <s v="28-juil"/>
          <s v="29-juil"/>
          <s v="30-juil"/>
          <s v="31-juil"/>
          <s v="01-août"/>
          <s v="02-août"/>
          <s v="03-août"/>
          <s v="04-août"/>
          <s v="05-août"/>
          <s v="06-août"/>
          <s v="07-août"/>
          <s v="08-août"/>
          <s v="09-août"/>
          <s v="10-août"/>
          <s v="11-août"/>
          <s v="12-août"/>
          <s v="13-août"/>
          <s v="14-août"/>
          <s v="15-août"/>
          <s v="16-août"/>
          <s v="17-août"/>
          <s v="18-août"/>
          <s v="19-août"/>
          <s v="20-août"/>
          <s v="21-août"/>
          <s v="22-août"/>
          <s v="23-août"/>
          <s v="24-août"/>
          <s v="25-août"/>
          <s v="26-août"/>
          <s v="27-août"/>
          <s v="28-août"/>
          <s v="29-août"/>
          <s v="30-août"/>
          <s v="31-août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éc"/>
          <s v="02-déc"/>
          <s v="03-déc"/>
          <s v="04-déc"/>
          <s v="05-déc"/>
          <s v="06-déc"/>
          <s v="07-déc"/>
          <s v="08-déc"/>
          <s v="09-déc"/>
          <s v="10-déc"/>
          <s v="11-déc"/>
          <s v="12-déc"/>
          <s v="13-déc"/>
          <s v="14-déc"/>
          <s v="15-déc"/>
          <s v="16-déc"/>
          <s v="17-déc"/>
          <s v="18-déc"/>
          <s v="19-déc"/>
          <s v="20-déc"/>
          <s v="21-déc"/>
          <s v="22-déc"/>
          <s v="23-déc"/>
          <s v="24-déc"/>
          <s v="25-déc"/>
          <s v="26-déc"/>
          <s v="27-déc"/>
          <s v="28-déc"/>
          <s v="29-déc"/>
          <s v="30-déc"/>
          <s v="31-déc"/>
          <s v="&gt;02/09/2023"/>
        </groupItems>
      </fieldGroup>
    </cacheField>
    <cacheField name="Mois (Mois)" numFmtId="0" databaseField="0">
      <fieldGroup base="0">
        <rangePr groupBy="months" startDate="2023-01-01T00:00:00" endDate="2023-09-02T00:00:00"/>
        <groupItems count="14">
          <s v="&lt;01/01/2023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02/09/2023"/>
        </groupItems>
      </fieldGroup>
    </cacheField>
  </cacheFields>
  <extLst>
    <ext xmlns:x14="http://schemas.microsoft.com/office/spreadsheetml/2009/9/main" uri="{725AE2AE-9491-48be-B2B4-4EB974FC3084}">
      <x14:pivotCacheDefinition pivotCacheId="166503124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x v="0"/>
    <x v="0"/>
    <n v="5000"/>
    <n v="4450"/>
    <n v="1891.25"/>
    <n v="2000"/>
    <n v="80"/>
    <x v="0"/>
    <n v="0.89"/>
    <n v="0.42499999999999999"/>
    <n v="0.8"/>
    <n v="0.82"/>
    <n v="0.87"/>
    <n v="0.68"/>
    <n v="0.86"/>
    <n v="0.77"/>
  </r>
  <r>
    <x v="0"/>
    <x v="1"/>
    <n v="3500"/>
    <n v="3290"/>
    <n v="1562.75"/>
    <n v="1400"/>
    <n v="30"/>
    <x v="0"/>
    <n v="0.94"/>
    <n v="0.47499999999999998"/>
    <n v="0.69400000000000017"/>
    <n v="0.63"/>
    <n v="0.53"/>
    <n v="0.66"/>
    <n v="0.93"/>
    <n v="0.72"/>
  </r>
  <r>
    <x v="0"/>
    <x v="2"/>
    <n v="1500"/>
    <n v="1230"/>
    <n v="492"/>
    <n v="600"/>
    <n v="15"/>
    <x v="0"/>
    <n v="0.82"/>
    <n v="0.4"/>
    <n v="0.72599999999999998"/>
    <n v="0.68"/>
    <n v="0.63"/>
    <n v="0.7"/>
    <n v="0.77"/>
    <n v="0.85"/>
  </r>
  <r>
    <x v="0"/>
    <x v="3"/>
    <n v="1500"/>
    <n v="1185"/>
    <n v="468.07500000000005"/>
    <n v="600"/>
    <n v="40"/>
    <x v="0"/>
    <n v="0.79"/>
    <n v="0.39500000000000002"/>
    <n v="0.62800000000000011"/>
    <n v="0.6"/>
    <n v="0.6"/>
    <n v="0.65"/>
    <n v="0.51"/>
    <n v="0.78"/>
  </r>
  <r>
    <x v="0"/>
    <x v="4"/>
    <n v="6000"/>
    <n v="5760"/>
    <n v="2275.2000000000003"/>
    <n v="2400"/>
    <n v="100"/>
    <x v="0"/>
    <n v="0.96"/>
    <n v="0.39500000000000002"/>
    <n v="0.85799999999999998"/>
    <n v="0.89"/>
    <n v="0.95"/>
    <n v="0.86"/>
    <n v="0.79"/>
    <n v="0.8"/>
  </r>
  <r>
    <x v="0"/>
    <x v="5"/>
    <n v="2500"/>
    <n v="1975"/>
    <n v="780.125"/>
    <n v="1000"/>
    <n v="15"/>
    <x v="0"/>
    <n v="0.79"/>
    <n v="0.39500000000000002"/>
    <n v="0.72399999999999998"/>
    <n v="0.79"/>
    <n v="0.64"/>
    <n v="0.67"/>
    <n v="0.7"/>
    <n v="0.82"/>
  </r>
  <r>
    <x v="0"/>
    <x v="6"/>
    <n v="10000"/>
    <n v="7500"/>
    <n v="2700"/>
    <n v="4000"/>
    <n v="20"/>
    <x v="0"/>
    <n v="0.75"/>
    <n v="0.36"/>
    <n v="0.74199999999999999"/>
    <n v="0.91"/>
    <n v="0.7"/>
    <n v="0.72"/>
    <n v="0.64"/>
    <n v="0.74"/>
  </r>
  <r>
    <x v="1"/>
    <x v="0"/>
    <n v="5000"/>
    <n v="4600"/>
    <n v="2277"/>
    <n v="2000"/>
    <n v="90"/>
    <x v="0"/>
    <n v="0.92"/>
    <n v="0.495"/>
    <n v="0.69199999999999995"/>
    <n v="0.8"/>
    <n v="0.48"/>
    <n v="0.9"/>
    <n v="0.56999999999999995"/>
    <n v="0.71"/>
  </r>
  <r>
    <x v="1"/>
    <x v="1"/>
    <n v="15000"/>
    <n v="10500"/>
    <n v="5197.5"/>
    <n v="6000"/>
    <n v="30"/>
    <x v="0"/>
    <n v="0.7"/>
    <n v="0.495"/>
    <n v="0.79799999999999993"/>
    <n v="0.56999999999999995"/>
    <n v="0.76"/>
    <n v="0.86"/>
    <n v="0.95"/>
    <n v="0.85"/>
  </r>
  <r>
    <x v="1"/>
    <x v="2"/>
    <n v="1500"/>
    <n v="1365"/>
    <n v="668.85"/>
    <n v="600"/>
    <n v="15"/>
    <x v="0"/>
    <n v="0.91"/>
    <n v="0.49"/>
    <n v="0.77600000000000002"/>
    <n v="0.97"/>
    <n v="0.71"/>
    <n v="0.74"/>
    <n v="0.74"/>
    <n v="0.72"/>
  </r>
  <r>
    <x v="1"/>
    <x v="3"/>
    <n v="3500"/>
    <n v="2590"/>
    <n v="1100.75"/>
    <n v="1400"/>
    <n v="40"/>
    <x v="0"/>
    <n v="0.74"/>
    <n v="0.42499999999999999"/>
    <n v="0.66400000000000003"/>
    <n v="0.61"/>
    <n v="0.78"/>
    <n v="0.69"/>
    <n v="0.43"/>
    <n v="0.81"/>
  </r>
  <r>
    <x v="1"/>
    <x v="4"/>
    <n v="6000"/>
    <n v="5400"/>
    <n v="2430"/>
    <n v="2400"/>
    <n v="100"/>
    <x v="0"/>
    <n v="0.9"/>
    <n v="0.45"/>
    <n v="0.70600000000000007"/>
    <n v="0.65"/>
    <n v="0.88"/>
    <n v="0.76"/>
    <n v="0.46"/>
    <n v="0.78"/>
  </r>
  <r>
    <x v="1"/>
    <x v="5"/>
    <n v="4000"/>
    <n v="3800"/>
    <n v="1843"/>
    <n v="1600"/>
    <n v="15"/>
    <x v="0"/>
    <n v="0.95"/>
    <n v="0.48499999999999999"/>
    <n v="0.75800000000000001"/>
    <n v="0.79"/>
    <n v="0.77"/>
    <n v="0.64"/>
    <n v="0.85"/>
    <n v="0.74"/>
  </r>
  <r>
    <x v="1"/>
    <x v="6"/>
    <n v="10000"/>
    <n v="9900"/>
    <n v="3910.5"/>
    <n v="4000"/>
    <n v="20"/>
    <x v="0"/>
    <n v="0.99"/>
    <n v="0.39500000000000002"/>
    <n v="0.67199999999999993"/>
    <n v="0.81"/>
    <n v="0.53"/>
    <n v="0.85"/>
    <n v="0.42"/>
    <n v="0.75"/>
  </r>
  <r>
    <x v="2"/>
    <x v="0"/>
    <n v="8572"/>
    <n v="7371.92"/>
    <n v="3575.3811999999998"/>
    <n v="3428.8"/>
    <n v="45"/>
    <x v="0"/>
    <n v="0.86"/>
    <n v="0.48499999999999999"/>
    <n v="0.78400000000000003"/>
    <n v="0.8"/>
    <n v="0.8"/>
    <n v="0.61"/>
    <n v="0.91"/>
    <n v="0.8"/>
  </r>
  <r>
    <x v="2"/>
    <x v="1"/>
    <n v="8572"/>
    <n v="7114.7599999999993"/>
    <n v="2561.3135999999995"/>
    <n v="3428.8"/>
    <n v="43"/>
    <x v="0"/>
    <n v="0.83"/>
    <n v="0.36"/>
    <n v="0.67"/>
    <n v="0.67"/>
    <n v="0.6"/>
    <n v="0.86"/>
    <n v="0.39"/>
    <n v="0.83"/>
  </r>
  <r>
    <x v="2"/>
    <x v="2"/>
    <n v="8572"/>
    <n v="6343.28"/>
    <n v="2473.8791999999999"/>
    <n v="3428.8"/>
    <n v="43"/>
    <x v="0"/>
    <n v="0.74"/>
    <n v="0.39"/>
    <n v="0.68600000000000005"/>
    <n v="0.75"/>
    <n v="0.76"/>
    <n v="0.76"/>
    <n v="0.45"/>
    <n v="0.71"/>
  </r>
  <r>
    <x v="2"/>
    <x v="3"/>
    <n v="8572"/>
    <n v="6857.6"/>
    <n v="2880.192"/>
    <n v="3428.8"/>
    <n v="43"/>
    <x v="0"/>
    <n v="0.8"/>
    <n v="0.42"/>
    <n v="0.73000000000000009"/>
    <n v="0.95"/>
    <n v="0.52"/>
    <n v="0.61"/>
    <n v="0.85"/>
    <n v="0.72"/>
  </r>
  <r>
    <x v="2"/>
    <x v="4"/>
    <n v="8572"/>
    <n v="7629.08"/>
    <n v="3776.3946000000001"/>
    <n v="3428.8"/>
    <n v="43"/>
    <x v="0"/>
    <n v="0.89"/>
    <n v="0.495"/>
    <n v="0.65"/>
    <n v="0.63"/>
    <n v="0.79"/>
    <n v="0.67"/>
    <n v="0.42"/>
    <n v="0.74"/>
  </r>
  <r>
    <x v="2"/>
    <x v="5"/>
    <n v="8572"/>
    <n v="6086.12"/>
    <n v="2647.4621999999999"/>
    <n v="3428.8"/>
    <n v="40"/>
    <x v="0"/>
    <n v="0.71"/>
    <n v="0.435"/>
    <n v="0.68799999999999994"/>
    <n v="0.76"/>
    <n v="0.57999999999999996"/>
    <n v="0.85"/>
    <n v="0.4"/>
    <n v="0.85"/>
  </r>
  <r>
    <x v="2"/>
    <x v="6"/>
    <n v="8572"/>
    <n v="7714.8"/>
    <n v="2777.328"/>
    <n v="3428.8"/>
    <n v="43"/>
    <x v="0"/>
    <n v="0.9"/>
    <n v="0.36"/>
    <n v="0.69000000000000006"/>
    <n v="0.43"/>
    <n v="0.88"/>
    <n v="0.82"/>
    <n v="0.57999999999999996"/>
    <n v="0.74"/>
  </r>
  <r>
    <x v="3"/>
    <x v="0"/>
    <n v="7858"/>
    <n v="6993.62"/>
    <n v="2972.2884999999997"/>
    <n v="3143.2000000000003"/>
    <n v="100"/>
    <x v="1"/>
    <n v="0.89"/>
    <n v="0.42499999999999999"/>
    <n v="0.68800000000000006"/>
    <n v="0.59"/>
    <n v="0.7"/>
    <n v="0.61"/>
    <n v="0.76"/>
    <n v="0.78"/>
  </r>
  <r>
    <x v="3"/>
    <x v="1"/>
    <n v="7858"/>
    <n v="6993.62"/>
    <n v="2797.4480000000003"/>
    <n v="3143.2000000000003"/>
    <n v="100"/>
    <x v="1"/>
    <n v="0.89"/>
    <n v="0.4"/>
    <n v="0.70399999999999996"/>
    <n v="0.77"/>
    <n v="0.93"/>
    <n v="0.73"/>
    <n v="0.36"/>
    <n v="0.73"/>
  </r>
  <r>
    <x v="3"/>
    <x v="2"/>
    <n v="7858"/>
    <n v="7700.84"/>
    <n v="3811.9158000000002"/>
    <n v="3143.2000000000003"/>
    <n v="100"/>
    <x v="1"/>
    <n v="0.98"/>
    <n v="0.495"/>
    <n v="0.74399999999999999"/>
    <n v="0.59"/>
    <n v="0.87"/>
    <n v="0.61"/>
    <n v="0.91"/>
    <n v="0.74"/>
  </r>
  <r>
    <x v="3"/>
    <x v="3"/>
    <n v="7858"/>
    <n v="6364.9800000000005"/>
    <n v="2896.0659000000005"/>
    <n v="3143.2000000000003"/>
    <n v="100"/>
    <x v="1"/>
    <n v="0.81"/>
    <n v="0.45500000000000002"/>
    <n v="0.75"/>
    <n v="0.9"/>
    <n v="0.57999999999999996"/>
    <n v="0.79"/>
    <n v="0.68"/>
    <n v="0.8"/>
  </r>
  <r>
    <x v="3"/>
    <x v="4"/>
    <n v="7858"/>
    <n v="7622.26"/>
    <n v="3239.4605000000001"/>
    <n v="3143.2000000000003"/>
    <n v="100"/>
    <x v="1"/>
    <n v="0.97"/>
    <n v="0.42499999999999999"/>
    <n v="0.67199999999999993"/>
    <n v="0.51"/>
    <n v="0.76"/>
    <n v="0.71"/>
    <n v="0.65"/>
    <n v="0.73"/>
  </r>
  <r>
    <x v="3"/>
    <x v="5"/>
    <n v="7858"/>
    <n v="6993.62"/>
    <n v="3287.0013999999996"/>
    <n v="3143.2000000000003"/>
    <n v="100"/>
    <x v="1"/>
    <n v="0.89"/>
    <n v="0.47"/>
    <n v="0.71799999999999997"/>
    <n v="0.68"/>
    <n v="0.57999999999999996"/>
    <n v="0.77"/>
    <n v="0.8"/>
    <n v="0.76"/>
  </r>
  <r>
    <x v="3"/>
    <x v="6"/>
    <n v="7858"/>
    <n v="6915.04"/>
    <n v="3250.0688"/>
    <n v="3143.2000000000003"/>
    <n v="100"/>
    <x v="1"/>
    <n v="0.88"/>
    <n v="0.47"/>
    <n v="0.77799999999999991"/>
    <n v="0.88"/>
    <n v="0.59"/>
    <n v="0.87"/>
    <n v="0.79"/>
    <n v="0.76"/>
  </r>
  <r>
    <x v="4"/>
    <x v="0"/>
    <n v="11429"/>
    <n v="8571.75"/>
    <n v="3300.1237500000002"/>
    <n v="4571.6000000000004"/>
    <n v="90"/>
    <x v="1"/>
    <n v="0.75"/>
    <n v="0.38500000000000001"/>
    <n v="0.67800000000000016"/>
    <n v="0.54"/>
    <n v="0.68"/>
    <n v="0.79"/>
    <n v="0.62"/>
    <n v="0.76"/>
  </r>
  <r>
    <x v="4"/>
    <x v="1"/>
    <n v="11429"/>
    <n v="8343.17"/>
    <n v="4004.7215999999999"/>
    <n v="4571.6000000000004"/>
    <n v="80"/>
    <x v="1"/>
    <n v="0.73"/>
    <n v="0.48"/>
    <n v="0.83800000000000008"/>
    <n v="0.88"/>
    <n v="0.8"/>
    <n v="0.81"/>
    <n v="0.9"/>
    <n v="0.8"/>
  </r>
  <r>
    <x v="4"/>
    <x v="2"/>
    <n v="11429"/>
    <n v="10628.970000000001"/>
    <n v="3932.7189000000003"/>
    <n v="4571.6000000000004"/>
    <n v="90"/>
    <x v="1"/>
    <n v="0.93"/>
    <n v="0.37"/>
    <n v="0.78600000000000003"/>
    <n v="0.92"/>
    <n v="0.5"/>
    <n v="0.81"/>
    <n v="0.87"/>
    <n v="0.83"/>
  </r>
  <r>
    <x v="4"/>
    <x v="3"/>
    <n v="11429"/>
    <n v="9714.65"/>
    <n v="3400.1274999999996"/>
    <n v="4571.6000000000004"/>
    <n v="110"/>
    <x v="1"/>
    <n v="0.85"/>
    <n v="0.35"/>
    <n v="0.72399999999999998"/>
    <n v="0.89"/>
    <n v="0.87"/>
    <n v="0.6"/>
    <n v="0.49"/>
    <n v="0.77"/>
  </r>
  <r>
    <x v="4"/>
    <x v="4"/>
    <n v="11429"/>
    <n v="10514.68"/>
    <n v="5204.7665999999999"/>
    <n v="4571.6000000000004"/>
    <n v="90"/>
    <x v="1"/>
    <n v="0.92"/>
    <n v="0.495"/>
    <n v="0.69000000000000006"/>
    <n v="0.7"/>
    <n v="0.61"/>
    <n v="0.66"/>
    <n v="0.68"/>
    <n v="0.8"/>
  </r>
  <r>
    <x v="4"/>
    <x v="5"/>
    <n v="11429"/>
    <n v="8571.75"/>
    <n v="4157.2987499999999"/>
    <n v="4571.6000000000004"/>
    <n v="100"/>
    <x v="1"/>
    <n v="0.75"/>
    <n v="0.48499999999999999"/>
    <n v="0.69199999999999995"/>
    <n v="0.63"/>
    <n v="0.73"/>
    <n v="0.68"/>
    <n v="0.57999999999999996"/>
    <n v="0.84"/>
  </r>
  <r>
    <x v="4"/>
    <x v="6"/>
    <n v="11429"/>
    <n v="8800.33"/>
    <n v="4268.1600499999995"/>
    <n v="4571.6000000000004"/>
    <n v="90"/>
    <x v="1"/>
    <n v="0.77"/>
    <n v="0.48499999999999999"/>
    <n v="0.76800000000000002"/>
    <n v="0.56000000000000005"/>
    <n v="0.82"/>
    <n v="0.89"/>
    <n v="0.86"/>
    <n v="0.71"/>
  </r>
  <r>
    <x v="5"/>
    <x v="0"/>
    <n v="14286"/>
    <n v="11285.94"/>
    <n v="4232.2275"/>
    <n v="5714.4000000000005"/>
    <n v="228"/>
    <x v="1"/>
    <n v="0.79"/>
    <n v="0.375"/>
    <n v="0.68399999999999994"/>
    <n v="0.7"/>
    <n v="0.75"/>
    <n v="0.6"/>
    <n v="0.55000000000000004"/>
    <n v="0.82"/>
  </r>
  <r>
    <x v="5"/>
    <x v="1"/>
    <n v="14286"/>
    <n v="11571.66"/>
    <n v="5670.1134000000002"/>
    <n v="5714.4000000000005"/>
    <n v="220"/>
    <x v="1"/>
    <n v="0.81"/>
    <n v="0.49"/>
    <n v="0.70200000000000007"/>
    <n v="0.69"/>
    <n v="0.66"/>
    <n v="0.72"/>
    <n v="0.61"/>
    <n v="0.83"/>
  </r>
  <r>
    <x v="5"/>
    <x v="2"/>
    <n v="14286"/>
    <n v="12285.96"/>
    <n v="5037.2435999999998"/>
    <n v="5714.4000000000005"/>
    <n v="228"/>
    <x v="1"/>
    <n v="0.86"/>
    <n v="0.41"/>
    <n v="0.66199999999999992"/>
    <n v="0.53"/>
    <n v="0.5"/>
    <n v="0.6"/>
    <n v="0.94"/>
    <n v="0.74"/>
  </r>
  <r>
    <x v="5"/>
    <x v="3"/>
    <n v="14286"/>
    <n v="10285.92"/>
    <n v="4885.8119999999999"/>
    <n v="5714.4000000000005"/>
    <n v="238"/>
    <x v="1"/>
    <n v="0.72"/>
    <n v="0.47499999999999998"/>
    <n v="0.72199999999999998"/>
    <n v="0.93"/>
    <n v="0.64"/>
    <n v="0.62"/>
    <n v="0.59"/>
    <n v="0.83"/>
  </r>
  <r>
    <x v="5"/>
    <x v="4"/>
    <n v="14286"/>
    <n v="10143.06"/>
    <n v="4057.2240000000002"/>
    <n v="5714.4000000000005"/>
    <n v="228"/>
    <x v="1"/>
    <n v="0.71"/>
    <n v="0.4"/>
    <n v="0.73000000000000009"/>
    <n v="0.75"/>
    <n v="0.93"/>
    <n v="0.63"/>
    <n v="0.6"/>
    <n v="0.74"/>
  </r>
  <r>
    <x v="5"/>
    <x v="5"/>
    <n v="14286"/>
    <n v="13857.42"/>
    <n v="6582.2744999999995"/>
    <n v="5714.4000000000005"/>
    <n v="230"/>
    <x v="1"/>
    <n v="0.97"/>
    <n v="0.47499999999999998"/>
    <n v="0.63200000000000001"/>
    <n v="0.85"/>
    <n v="0.56000000000000005"/>
    <n v="0.62"/>
    <n v="0.36"/>
    <n v="0.77"/>
  </r>
  <r>
    <x v="5"/>
    <x v="6"/>
    <n v="14286"/>
    <n v="13571.699999999999"/>
    <n v="5767.9724999999989"/>
    <n v="5714.4000000000005"/>
    <n v="228"/>
    <x v="1"/>
    <n v="0.95"/>
    <n v="0.42499999999999999"/>
    <n v="0.74"/>
    <n v="0.38"/>
    <n v="0.8"/>
    <n v="0.81"/>
    <n v="0.91"/>
    <n v="0.8"/>
  </r>
  <r>
    <x v="6"/>
    <x v="0"/>
    <n v="18563"/>
    <n v="18006.11"/>
    <n v="6302.1385"/>
    <n v="7425.2000000000007"/>
    <n v="250"/>
    <x v="2"/>
    <n v="0.97"/>
    <n v="0.35"/>
    <n v="0.67599999999999993"/>
    <n v="0.73"/>
    <n v="0.72"/>
    <n v="0.64"/>
    <n v="0.57999999999999996"/>
    <n v="0.71"/>
  </r>
  <r>
    <x v="6"/>
    <x v="1"/>
    <n v="18563"/>
    <n v="16706.7"/>
    <n v="8186.2830000000004"/>
    <n v="7425.2000000000007"/>
    <n v="240"/>
    <x v="2"/>
    <n v="0.9"/>
    <n v="0.49"/>
    <n v="0.76200000000000012"/>
    <n v="0.73"/>
    <n v="0.86"/>
    <n v="0.64"/>
    <n v="0.8"/>
    <n v="0.78"/>
  </r>
  <r>
    <x v="6"/>
    <x v="2"/>
    <n v="18563"/>
    <n v="16706.7"/>
    <n v="7935.6824999999999"/>
    <n v="7425.2000000000007"/>
    <n v="270"/>
    <x v="2"/>
    <n v="0.9"/>
    <n v="0.47499999999999998"/>
    <n v="0.75600000000000001"/>
    <n v="0.76"/>
    <n v="0.73"/>
    <n v="0.9"/>
    <n v="0.56000000000000005"/>
    <n v="0.83"/>
  </r>
  <r>
    <x v="6"/>
    <x v="3"/>
    <n v="18563"/>
    <n v="17820.48"/>
    <n v="7217.2944000000007"/>
    <n v="7425.2000000000007"/>
    <n v="259"/>
    <x v="2"/>
    <n v="0.96"/>
    <n v="0.40500000000000003"/>
    <n v="0.67599999999999993"/>
    <n v="0.45"/>
    <n v="0.56999999999999995"/>
    <n v="0.7"/>
    <n v="0.87"/>
    <n v="0.79"/>
  </r>
  <r>
    <x v="6"/>
    <x v="4"/>
    <n v="18563"/>
    <n v="18191.739999999998"/>
    <n v="7640.5307999999986"/>
    <n v="7425.2000000000007"/>
    <n v="260"/>
    <x v="2"/>
    <n v="0.98"/>
    <n v="0.42"/>
    <n v="0.69000000000000006"/>
    <n v="0.64"/>
    <n v="0.92"/>
    <n v="0.62"/>
    <n v="0.56000000000000005"/>
    <n v="0.71"/>
  </r>
  <r>
    <x v="6"/>
    <x v="5"/>
    <n v="18563"/>
    <n v="14107.880000000001"/>
    <n v="4937.7579999999998"/>
    <n v="7425.2000000000007"/>
    <n v="260"/>
    <x v="2"/>
    <n v="0.76"/>
    <n v="0.35"/>
    <n v="0.55999999999999994"/>
    <n v="0.35"/>
    <n v="0.65"/>
    <n v="0.62"/>
    <n v="0.38"/>
    <n v="0.8"/>
  </r>
  <r>
    <x v="6"/>
    <x v="6"/>
    <n v="18563"/>
    <n v="16892.330000000002"/>
    <n v="6503.547050000001"/>
    <n v="7425.2000000000007"/>
    <n v="261"/>
    <x v="2"/>
    <n v="0.91"/>
    <n v="0.38500000000000001"/>
    <n v="0.63200000000000001"/>
    <n v="0.35"/>
    <n v="0.9"/>
    <n v="0.62"/>
    <n v="0.57999999999999996"/>
    <n v="0.71"/>
  </r>
  <r>
    <x v="7"/>
    <x v="0"/>
    <n v="18572"/>
    <n v="14671.880000000001"/>
    <n v="5942.1114000000007"/>
    <n v="7428.8"/>
    <n v="242"/>
    <x v="2"/>
    <n v="0.79"/>
    <n v="0.40500000000000003"/>
    <n v="0.63800000000000001"/>
    <n v="0.35"/>
    <n v="0.7"/>
    <n v="0.78"/>
    <n v="0.56999999999999995"/>
    <n v="0.79"/>
  </r>
  <r>
    <x v="7"/>
    <x v="1"/>
    <n v="18572"/>
    <n v="15786.199999999999"/>
    <n v="6472.3419999999987"/>
    <n v="7428.8"/>
    <n v="250"/>
    <x v="2"/>
    <n v="0.85"/>
    <n v="0.41"/>
    <n v="0.77000000000000013"/>
    <n v="0.9"/>
    <n v="0.64"/>
    <n v="0.66"/>
    <n v="0.91"/>
    <n v="0.74"/>
  </r>
  <r>
    <x v="7"/>
    <x v="2"/>
    <n v="18572"/>
    <n v="16343.36"/>
    <n v="6864.2111999999997"/>
    <n v="7428.8"/>
    <n v="242"/>
    <x v="2"/>
    <n v="0.88"/>
    <n v="0.42"/>
    <n v="0.76400000000000001"/>
    <n v="0.97"/>
    <n v="0.48"/>
    <n v="0.88"/>
    <n v="0.68"/>
    <n v="0.81"/>
  </r>
  <r>
    <x v="7"/>
    <x v="3"/>
    <n v="18572"/>
    <n v="15043.320000000002"/>
    <n v="6919.927200000001"/>
    <n v="7428.8"/>
    <n v="242"/>
    <x v="2"/>
    <n v="0.81"/>
    <n v="0.46"/>
    <n v="0.69000000000000006"/>
    <n v="0.56999999999999995"/>
    <n v="0.63"/>
    <n v="0.75"/>
    <n v="0.67"/>
    <n v="0.83"/>
  </r>
  <r>
    <x v="7"/>
    <x v="4"/>
    <n v="18572"/>
    <n v="15600.48"/>
    <n v="5694.1751999999997"/>
    <n v="7428.8"/>
    <n v="242"/>
    <x v="2"/>
    <n v="0.84"/>
    <n v="0.36499999999999999"/>
    <n v="0.7659999999999999"/>
    <n v="0.73"/>
    <n v="0.83"/>
    <n v="0.67"/>
    <n v="0.78"/>
    <n v="0.82"/>
  </r>
  <r>
    <x v="7"/>
    <x v="5"/>
    <n v="18572"/>
    <n v="17271.96"/>
    <n v="6822.4242000000004"/>
    <n v="7428.8"/>
    <n v="240"/>
    <x v="2"/>
    <n v="0.93"/>
    <n v="0.39500000000000002"/>
    <n v="0.61"/>
    <n v="0.38"/>
    <n v="0.82"/>
    <n v="0.66"/>
    <n v="0.36"/>
    <n v="0.83"/>
  </r>
  <r>
    <x v="7"/>
    <x v="6"/>
    <n v="18572"/>
    <n v="15600.48"/>
    <n v="6162.1895999999997"/>
    <n v="7428.8"/>
    <n v="242"/>
    <x v="2"/>
    <n v="0.84"/>
    <n v="0.39500000000000002"/>
    <n v="0.64200000000000002"/>
    <n v="0.36"/>
    <n v="0.85"/>
    <n v="0.74"/>
    <n v="0.46"/>
    <n v="0.8"/>
  </r>
  <r>
    <x v="8"/>
    <x v="0"/>
    <n v="17858"/>
    <n v="15179.3"/>
    <n v="6906.5815000000002"/>
    <n v="7143.2000000000007"/>
    <n v="285"/>
    <x v="2"/>
    <n v="0.85"/>
    <n v="0.45500000000000002"/>
    <n v="0.77"/>
    <n v="0.62"/>
    <n v="0.84"/>
    <n v="0.79"/>
    <n v="0.75"/>
    <n v="0.85"/>
  </r>
  <r>
    <x v="8"/>
    <x v="1"/>
    <n v="17858"/>
    <n v="15357.88"/>
    <n v="5759.2049999999999"/>
    <n v="7143.2000000000007"/>
    <n v="275"/>
    <x v="2"/>
    <n v="0.86"/>
    <n v="0.375"/>
    <n v="0.76"/>
    <n v="0.65"/>
    <n v="0.9"/>
    <n v="0.68"/>
    <n v="0.75"/>
    <n v="0.82"/>
  </r>
  <r>
    <x v="8"/>
    <x v="2"/>
    <n v="17858"/>
    <n v="17143.68"/>
    <n v="6600.3168000000005"/>
    <n v="7143.2000000000007"/>
    <n v="285"/>
    <x v="2"/>
    <n v="0.96"/>
    <n v="0.38500000000000001"/>
    <n v="0.64600000000000002"/>
    <n v="0.9"/>
    <n v="0.47"/>
    <n v="0.66"/>
    <n v="0.38"/>
    <n v="0.82"/>
  </r>
  <r>
    <x v="8"/>
    <x v="3"/>
    <n v="17858"/>
    <n v="17679.419999999998"/>
    <n v="8574.5186999999987"/>
    <n v="7143.2000000000007"/>
    <n v="290"/>
    <x v="2"/>
    <n v="0.99"/>
    <n v="0.48499999999999999"/>
    <n v="0.67999999999999994"/>
    <n v="0.89"/>
    <n v="0.54"/>
    <n v="0.75"/>
    <n v="0.49"/>
    <n v="0.73"/>
  </r>
  <r>
    <x v="8"/>
    <x v="4"/>
    <n v="17858"/>
    <n v="13750.66"/>
    <n v="4950.2375999999995"/>
    <n v="7143.2000000000007"/>
    <n v="310"/>
    <x v="2"/>
    <n v="0.77"/>
    <n v="0.36"/>
    <n v="0.65600000000000003"/>
    <n v="0.46"/>
    <n v="0.52"/>
    <n v="0.6"/>
    <n v="0.94"/>
    <n v="0.76"/>
  </r>
  <r>
    <x v="8"/>
    <x v="5"/>
    <n v="17858"/>
    <n v="13750.66"/>
    <n v="6600.3167999999996"/>
    <n v="7143.2000000000007"/>
    <n v="270"/>
    <x v="2"/>
    <n v="0.77"/>
    <n v="0.48"/>
    <n v="0.68599999999999994"/>
    <n v="0.36"/>
    <n v="0.56000000000000005"/>
    <n v="0.84"/>
    <n v="0.85"/>
    <n v="0.82"/>
  </r>
  <r>
    <x v="8"/>
    <x v="6"/>
    <n v="17858"/>
    <n v="13929.24"/>
    <n v="5571.6959999999999"/>
    <n v="7143.2000000000007"/>
    <n v="285"/>
    <x v="2"/>
    <n v="0.78"/>
    <n v="0.4"/>
    <n v="0.73399999999999999"/>
    <n v="0.78"/>
    <n v="0.57999999999999996"/>
    <n v="0.68"/>
    <n v="0.93"/>
    <n v="0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9AEA50-6C9D-4E6C-88DD-5C919081BCF4}" name="Tableau croisé dynamique3" cacheId="0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multipleFieldFilters="0" chartFormat="5">
  <location ref="G13:I22" firstHeaderRow="0" firstDataRow="1" firstDataCol="1"/>
  <pivotFields count="18">
    <pivotField axis="axisRow" numFmtId="164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8">
        <item x="2"/>
        <item x="0"/>
        <item x="5"/>
        <item x="1"/>
        <item x="3"/>
        <item x="4"/>
        <item x="6"/>
        <item t="default"/>
      </items>
    </pivotField>
    <pivotField numFmtId="165" showAll="0"/>
    <pivotField dataField="1" numFmtId="165" showAll="0"/>
    <pivotField dataField="1" numFmtId="165" showAll="0"/>
    <pivotField numFmtId="165" showAll="0"/>
    <pivotField showAll="0"/>
    <pivotField showAll="0">
      <items count="4">
        <item x="0"/>
        <item x="1"/>
        <item x="2"/>
        <item t="default"/>
      </items>
    </pivotField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Fields count="1">
    <field x="-2"/>
  </colFields>
  <colItems count="2">
    <i>
      <x/>
    </i>
    <i i="1">
      <x v="1"/>
    </i>
  </colItems>
  <dataFields count="2">
    <dataField name="Somme de CA Ventes" fld="3" baseField="0" baseItem="0" numFmtId="165"/>
    <dataField name="Somme de Bénéfices" fld="4" baseField="0" baseItem="0"/>
  </dataFields>
  <formats count="1">
    <format dxfId="19">
      <pivotArea outline="0" collapsedLevelsAreSubtotals="1" fieldPosition="0"/>
    </format>
  </formats>
  <chartFormats count="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F7F495-59C4-48F4-B522-1409921BFE7F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4">
  <location ref="B3:C11" firstHeaderRow="1" firstDataRow="1" firstDataCol="1"/>
  <pivotFields count="18">
    <pivotField numFmtId="164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8">
        <item x="2"/>
        <item x="0"/>
        <item x="5"/>
        <item x="1"/>
        <item x="3"/>
        <item x="4"/>
        <item x="6"/>
        <item t="default"/>
      </items>
    </pivotField>
    <pivotField numFmtId="165" showAll="0"/>
    <pivotField dataField="1" numFmtId="165" showAll="0"/>
    <pivotField numFmtId="165" showAll="0"/>
    <pivotField numFmtId="165" showAll="0"/>
    <pivotField showAll="0"/>
    <pivotField showAll="0">
      <items count="4">
        <item x="0"/>
        <item x="1"/>
        <item x="2"/>
        <item t="default"/>
      </items>
    </pivotField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me de CA Ventes" fld="3" baseField="0" baseItem="0" numFmtId="165"/>
  </dataFields>
  <formats count="1">
    <format dxfId="20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6565C8-215F-496B-936C-8E291D596A83}" name="Tableau croisé dynamique5" cacheId="0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multipleFieldFilters="0">
  <location ref="B41:I51" firstHeaderRow="1" firstDataRow="2" firstDataCol="1"/>
  <pivotFields count="18">
    <pivotField axis="axisRow" numFmtId="164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Col" showAll="0">
      <items count="8">
        <item x="2"/>
        <item x="0"/>
        <item x="5"/>
        <item x="1"/>
        <item x="3"/>
        <item x="4"/>
        <item x="6"/>
        <item t="default"/>
      </items>
    </pivotField>
    <pivotField numFmtId="165" showAll="0"/>
    <pivotField numFmtId="165" showAll="0"/>
    <pivotField numFmtId="165" showAll="0"/>
    <pivotField numFmtId="165" showAll="0"/>
    <pivotField dataField="1" showAll="0"/>
    <pivotField showAll="0">
      <items count="4">
        <item x="0"/>
        <item x="1"/>
        <item x="2"/>
        <item t="default"/>
      </items>
    </pivotField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Somme de Nombre client" fld="6" baseField="0" baseItem="0" numFmtId="166"/>
  </dataFields>
  <formats count="1">
    <format dxfId="2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0612D5-FAE4-44C8-9FC0-71382E906791}" name="Tableau croisé dynamique2" cacheId="0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multipleFieldFilters="0" chartFormat="4">
  <location ref="B13:E22" firstHeaderRow="0" firstDataRow="1" firstDataCol="1"/>
  <pivotFields count="18">
    <pivotField axis="axisRow" numFmtId="164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8">
        <item x="2"/>
        <item x="0"/>
        <item x="5"/>
        <item x="1"/>
        <item x="3"/>
        <item x="4"/>
        <item x="6"/>
        <item t="default"/>
      </items>
    </pivotField>
    <pivotField dataField="1" numFmtId="165" showAll="0"/>
    <pivotField dataField="1" numFmtId="165" showAll="0"/>
    <pivotField numFmtId="165" showAll="0"/>
    <pivotField numFmtId="165" showAll="0"/>
    <pivotField showAll="0"/>
    <pivotField showAll="0">
      <items count="4">
        <item x="0"/>
        <item x="1"/>
        <item x="2"/>
        <item t="default"/>
      </items>
    </pivotField>
    <pivotField dataField="1"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e de CA Ventes" fld="3" baseField="0" baseItem="0" numFmtId="165"/>
    <dataField name="Somme de Objectif" fld="2" baseField="0" baseItem="0"/>
    <dataField name="Moyenne de Taux concrétisation" fld="8" subtotal="average" baseField="0" baseItem="7" numFmtId="9"/>
  </dataFields>
  <formats count="2">
    <format dxfId="23">
      <pivotArea outline="0" collapsedLevelsAreSubtotals="1" fieldPosition="0"/>
    </format>
    <format dxfId="2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3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FE8CF3-B762-4CBE-BE06-31D400B6617A}" name="Tableau croisé dynamique6" cacheId="0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multipleFieldFilters="0">
  <location ref="B55:I65" firstHeaderRow="1" firstDataRow="2" firstDataCol="1"/>
  <pivotFields count="18">
    <pivotField axis="axisRow" numFmtId="164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Col" showAll="0">
      <items count="8">
        <item x="2"/>
        <item x="0"/>
        <item x="5"/>
        <item x="1"/>
        <item x="3"/>
        <item x="4"/>
        <item x="6"/>
        <item t="default"/>
      </items>
    </pivotField>
    <pivotField numFmtId="165" showAll="0"/>
    <pivotField numFmtId="165" showAll="0"/>
    <pivotField numFmtId="165" showAll="0"/>
    <pivotField numFmtId="165" showAll="0"/>
    <pivotField showAll="0"/>
    <pivotField showAll="0">
      <items count="4">
        <item x="0"/>
        <item x="1"/>
        <item x="2"/>
        <item t="default"/>
      </items>
    </pivotField>
    <pivotField numFmtId="9" showAll="0"/>
    <pivotField numFmtId="9" showAll="0"/>
    <pivotField dataField="1" numFmtId="9" showAll="0"/>
    <pivotField numFmtId="9" showAll="0"/>
    <pivotField numFmtId="9" showAll="0"/>
    <pivotField numFmtId="9" showAll="0"/>
    <pivotField numFmtId="9" showAll="0"/>
    <pivotField numFmtId="9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Moyenne de Taux satisfaction client" fld="10" subtotal="average" baseField="0" baseItem="2" numFmtId="9"/>
  </dataFields>
  <formats count="1">
    <format dxfId="2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6C6FAC-6261-484B-AA86-91DF88997682}" name="Tableau croisé dynamique4" cacheId="0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multipleFieldFilters="0">
  <location ref="B27:E36" firstHeaderRow="0" firstDataRow="1" firstDataCol="1"/>
  <pivotFields count="18">
    <pivotField axis="axisRow" numFmtId="164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8">
        <item x="2"/>
        <item x="0"/>
        <item x="5"/>
        <item x="1"/>
        <item x="3"/>
        <item x="4"/>
        <item x="6"/>
        <item t="default"/>
      </items>
    </pivotField>
    <pivotField numFmtId="165" showAll="0"/>
    <pivotField numFmtId="165" showAll="0"/>
    <pivotField dataField="1" numFmtId="165" showAll="0"/>
    <pivotField dataField="1" numFmtId="165" showAll="0"/>
    <pivotField showAll="0"/>
    <pivotField showAll="0">
      <items count="4">
        <item x="0"/>
        <item x="1"/>
        <item x="2"/>
        <item t="default"/>
      </items>
    </pivotField>
    <pivotField numFmtId="9" showAll="0"/>
    <pivotField dataField="1"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e de Bénéfices" fld="4" baseField="0" baseItem="0"/>
    <dataField name="Somme de Revenus Cibles" fld="5" baseField="0" baseItem="0"/>
    <dataField name="Moyenne de Taux de marge" fld="9" subtotal="average" baseField="0" baseItem="0" numFmtId="9"/>
  </dataFields>
  <formats count="2">
    <format dxfId="26">
      <pivotArea outline="0" collapsedLevelsAreSubtotals="1" fieldPosition="0"/>
    </format>
    <format dxfId="2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17FE86-0B19-4136-B272-725CDB96BA04}" name="Tableau croisé dynamique7" cacheId="0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multipleFieldFilters="0">
  <location ref="B69:F70" firstHeaderRow="0" firstDataRow="1" firstDataCol="0"/>
  <pivotFields count="18">
    <pivotField numFmtId="164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8">
        <item x="2"/>
        <item x="0"/>
        <item x="5"/>
        <item x="1"/>
        <item x="3"/>
        <item x="4"/>
        <item x="6"/>
        <item t="default"/>
      </items>
    </pivotField>
    <pivotField numFmtId="165" showAll="0"/>
    <pivotField numFmtId="165" showAll="0"/>
    <pivotField numFmtId="165" showAll="0"/>
    <pivotField numFmtId="165" showAll="0"/>
    <pivotField showAll="0"/>
    <pivotField showAll="0">
      <items count="4">
        <item x="0"/>
        <item x="1"/>
        <item x="2"/>
        <item t="default"/>
      </items>
    </pivotField>
    <pivotField numFmtId="9" showAll="0"/>
    <pivotField numFmtId="9" showAll="0"/>
    <pivotField numFmtId="9" showAll="0"/>
    <pivotField dataField="1" numFmtId="9" showAll="0"/>
    <pivotField dataField="1" numFmtId="9" showAll="0"/>
    <pivotField dataField="1" numFmtId="9" showAll="0"/>
    <pivotField dataField="1" numFmtId="9" showAll="0"/>
    <pivotField dataField="1" numFmtId="9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Moyenne de Qualité" fld="11" subtotal="average" baseField="0" baseItem="1"/>
    <dataField name="Moyenne de Délais" fld="12" subtotal="average" baseField="0" baseItem="1"/>
    <dataField name="Moyenne de Disponibilité" fld="13" subtotal="average" baseField="0" baseItem="1"/>
    <dataField name="Moyenne de Services" fld="14" subtotal="average" baseField="0" baseItem="1"/>
    <dataField name="Moyenne de SAV" fld="15" subtotal="average" baseField="0" baseItem="1"/>
  </dataFields>
  <formats count="1">
    <format dxfId="2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Mois1" xr10:uid="{F41444D5-55EC-4BB1-B444-03C671D977F9}" sourceName="Mois">
  <pivotTables>
    <pivotTable tabId="3" name="Tableau croisé dynamique1"/>
    <pivotTable tabId="3" name="Tableau croisé dynamique2"/>
    <pivotTable tabId="3" name="Tableau croisé dynamique3"/>
    <pivotTable tabId="3" name="Tableau croisé dynamique4"/>
    <pivotTable tabId="3" name="Tableau croisé dynamique5"/>
    <pivotTable tabId="3" name="Tableau croisé dynamique6"/>
    <pivotTable tabId="3" name="Tableau croisé dynamique7"/>
  </pivotTables>
  <data>
    <tabular pivotCacheId="1665031243">
      <items count="9">
        <i x="0" s="1"/>
        <i x="1" s="1"/>
        <i x="2" s="1"/>
        <i x="3" s="1"/>
        <i x="4" s="1"/>
        <i x="5" s="1"/>
        <i x="6" s="1"/>
        <i x="7" s="1"/>
        <i x="8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Pays1" xr10:uid="{A9769506-D71B-4AE7-ADD9-EC14C22E7B4F}" sourceName="Pays">
  <pivotTables>
    <pivotTable tabId="3" name="Tableau croisé dynamique1"/>
    <pivotTable tabId="3" name="Tableau croisé dynamique2"/>
    <pivotTable tabId="3" name="Tableau croisé dynamique3"/>
    <pivotTable tabId="3" name="Tableau croisé dynamique4"/>
    <pivotTable tabId="3" name="Tableau croisé dynamique5"/>
    <pivotTable tabId="3" name="Tableau croisé dynamique6"/>
    <pivotTable tabId="3" name="Tableau croisé dynamique7"/>
  </pivotTables>
  <data>
    <tabular pivotCacheId="1665031243">
      <items count="7">
        <i x="2" s="1"/>
        <i x="0" s="1"/>
        <i x="5" s="1"/>
        <i x="1" s="1"/>
        <i x="3" s="1"/>
        <i x="4" s="1"/>
        <i x="6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Trimestre1" xr10:uid="{936BEE03-572B-4F32-9FDF-489A54C9917D}" sourceName="Trimestre">
  <pivotTables>
    <pivotTable tabId="3" name="Tableau croisé dynamique1"/>
    <pivotTable tabId="3" name="Tableau croisé dynamique2"/>
    <pivotTable tabId="3" name="Tableau croisé dynamique3"/>
    <pivotTable tabId="3" name="Tableau croisé dynamique4"/>
    <pivotTable tabId="3" name="Tableau croisé dynamique5"/>
    <pivotTable tabId="3" name="Tableau croisé dynamique6"/>
    <pivotTable tabId="3" name="Tableau croisé dynamique7"/>
  </pivotTables>
  <data>
    <tabular pivotCacheId="1665031243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is" xr10:uid="{16F1FF98-6D62-4F3D-8E12-E99E01F3218B}" cache="Segment_Mois1" caption="Mois" startItem="1" style="Style de segment 1" rowHeight="288000"/>
  <slicer name="Pays" xr10:uid="{4E8E820C-AE75-4750-AED2-844B5CDAAF63}" cache="Segment_Pays1" caption="Pays" startItem="1" style="Style de segment 1" rowHeight="288000"/>
  <slicer name="Trimestre" xr10:uid="{82FEAAB8-68AA-40FA-A160-0621C51A5865}" cache="Segment_Trimestre1" caption="Trimestre" style="Style de segment 1" rowHeight="288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0ECD53-758D-44D8-BD9B-03D8C0937A5A}" name="Tableau1" displayName="Tableau1" ref="A2:Q65" totalsRowShown="0" headerRowDxfId="18" dataDxfId="17">
  <autoFilter ref="A2:Q65" xr:uid="{E70ECD53-758D-44D8-BD9B-03D8C0937A5A}"/>
  <tableColumns count="17">
    <tableColumn id="1" xr3:uid="{98A439A2-11B1-427E-90E8-81C9C5B1349D}" name="Mois" dataDxfId="16"/>
    <tableColumn id="2" xr3:uid="{58BA7320-7E61-431C-AE5F-89EC1C912B6A}" name="Pays" dataDxfId="15"/>
    <tableColumn id="3" xr3:uid="{BB5FF610-6396-4B9D-A949-4767EF32A870}" name="Objectif" dataDxfId="14"/>
    <tableColumn id="4" xr3:uid="{E139343D-C5BC-432F-B851-FB1176AF1BF2}" name="CA Ventes" dataDxfId="13"/>
    <tableColumn id="5" xr3:uid="{6B165A2C-145E-4D13-AC06-BBE0B73650DC}" name="Bénéfices" dataDxfId="12"/>
    <tableColumn id="6" xr3:uid="{0B4ECA32-B99F-4C80-8100-7ED6F76646DA}" name="Revenus Cibles" dataDxfId="11"/>
    <tableColumn id="7" xr3:uid="{038B4F76-058D-4601-B2ED-B556CB14753F}" name="Nombre client" dataDxfId="10"/>
    <tableColumn id="8" xr3:uid="{81E247C3-DCEB-447A-A99A-01869D9067D0}" name="Trimestre" dataDxfId="9"/>
    <tableColumn id="9" xr3:uid="{6FC5FCD1-05F0-4889-997A-D8DF45405C60}" name="Taux concrétisation" dataDxfId="8"/>
    <tableColumn id="10" xr3:uid="{8830D46D-F7AE-4FB9-9F1F-CBCA59CB26B9}" name="Taux de marge" dataDxfId="7"/>
    <tableColumn id="11" xr3:uid="{F5B9BCB5-9E92-4581-A7B0-0B7737B8EA8A}" name="Taux satisfaction client" dataDxfId="6"/>
    <tableColumn id="12" xr3:uid="{8EFF53F2-98F1-4671-BEBF-A02DA90A1122}" name="Qualité" dataDxfId="5"/>
    <tableColumn id="13" xr3:uid="{824A770D-4C68-4F80-9F89-FBFEA419D916}" name="Délais" dataDxfId="4"/>
    <tableColumn id="14" xr3:uid="{322B033F-B477-4617-81DF-A395E816FD94}" name="Disponibilité" dataDxfId="3"/>
    <tableColumn id="15" xr3:uid="{B23A7DD7-BF48-4C13-891A-ED000EF93C7F}" name="Services" dataDxfId="2"/>
    <tableColumn id="16" xr3:uid="{1DBC28F5-448D-4581-B160-F8BE288C96EE}" name="SAV" dataDxfId="1"/>
    <tableColumn id="17" xr3:uid="{3508412E-987A-4547-890D-033E295F4E39}" name="discount" dataDxfId="0">
      <calculatedColumnFormula array="1">discount(C3)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CFC71-56DE-4191-9FDA-AF8755C4B2F9}">
  <sheetPr codeName="Feuil1"/>
  <dimension ref="A1:U52"/>
  <sheetViews>
    <sheetView zoomScale="85" zoomScaleNormal="85" workbookViewId="0">
      <selection activeCell="B5" sqref="B5"/>
    </sheetView>
  </sheetViews>
  <sheetFormatPr baseColWidth="10" defaultRowHeight="14.4" x14ac:dyDescent="0.3"/>
  <cols>
    <col min="6" max="6" width="11.44140625" customWidth="1"/>
    <col min="8" max="8" width="11.44140625" customWidth="1"/>
  </cols>
  <sheetData>
    <row r="1" spans="1:21" ht="50.1" customHeight="1" x14ac:dyDescent="0.3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17"/>
    </row>
    <row r="2" spans="1:2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3" spans="1:21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</row>
    <row r="4" spans="1:21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</row>
    <row r="5" spans="1:21" x14ac:dyDescent="0.3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 spans="1:21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 spans="1:21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1:21" x14ac:dyDescent="0.3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 spans="1:21" x14ac:dyDescent="0.3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0" spans="1:21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 spans="1:21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spans="1:21" x14ac:dyDescent="0.3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 spans="1:21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spans="1:21" x14ac:dyDescent="0.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spans="1:21" x14ac:dyDescent="0.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spans="1:21" x14ac:dyDescent="0.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spans="1:21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 spans="1:21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 spans="1:21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 spans="1:21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 spans="1:21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 spans="1:21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 spans="1:21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 spans="1:21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 spans="1:21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  <row r="26" spans="1:21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</row>
    <row r="27" spans="1:21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</row>
    <row r="28" spans="1:21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</row>
    <row r="29" spans="1:21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</row>
    <row r="30" spans="1:21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</row>
    <row r="31" spans="1:21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</row>
    <row r="32" spans="1:21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 spans="1:21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</row>
    <row r="34" spans="1:21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</row>
    <row r="35" spans="1:21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</row>
    <row r="36" spans="1:21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</row>
    <row r="37" spans="1:21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</row>
    <row r="38" spans="1:21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</row>
    <row r="39" spans="1:21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</row>
    <row r="40" spans="1:21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</row>
    <row r="41" spans="1:21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</row>
    <row r="42" spans="1:21" x14ac:dyDescent="0.3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</row>
    <row r="43" spans="1:21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</row>
    <row r="44" spans="1:21" x14ac:dyDescent="0.3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</row>
    <row r="45" spans="1:21" x14ac:dyDescent="0.3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</row>
    <row r="46" spans="1:21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</row>
    <row r="47" spans="1:21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</row>
    <row r="48" spans="1:21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</row>
    <row r="49" spans="1:21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</row>
    <row r="50" spans="1:21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</row>
    <row r="51" spans="1:21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</row>
    <row r="52" spans="1:21" x14ac:dyDescent="0.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A17D0-3CE1-417E-B25A-A021CC9E06D4}">
  <sheetPr codeName="Feuil2"/>
  <dimension ref="A1:U76"/>
  <sheetViews>
    <sheetView workbookViewId="0">
      <selection activeCell="A5" sqref="A5"/>
    </sheetView>
  </sheetViews>
  <sheetFormatPr baseColWidth="10" defaultRowHeight="14.4" x14ac:dyDescent="0.3"/>
  <cols>
    <col min="2" max="2" width="18.21875" bestFit="1" customWidth="1"/>
    <col min="3" max="3" width="17.109375" bestFit="1" customWidth="1"/>
    <col min="4" max="4" width="22.6640625" bestFit="1" customWidth="1"/>
    <col min="5" max="5" width="19" bestFit="1" customWidth="1"/>
    <col min="6" max="6" width="15.5546875" bestFit="1" customWidth="1"/>
    <col min="7" max="7" width="5.109375" bestFit="1" customWidth="1"/>
    <col min="8" max="8" width="8.109375" bestFit="1" customWidth="1"/>
    <col min="9" max="9" width="6.109375" bestFit="1" customWidth="1"/>
  </cols>
  <sheetData>
    <row r="1" spans="1:21" ht="50.1" customHeight="1" x14ac:dyDescent="0.3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17"/>
    </row>
    <row r="3" spans="1:21" x14ac:dyDescent="0.3">
      <c r="B3" s="10" t="s">
        <v>29</v>
      </c>
      <c r="C3" t="s">
        <v>31</v>
      </c>
      <c r="E3" t="str">
        <f>B3</f>
        <v>Étiquettes de lignes</v>
      </c>
      <c r="F3" t="str">
        <f>C3</f>
        <v>Somme de CA Ventes</v>
      </c>
      <c r="H3" t="s">
        <v>54</v>
      </c>
    </row>
    <row r="4" spans="1:21" x14ac:dyDescent="0.3">
      <c r="B4" s="11" t="s">
        <v>19</v>
      </c>
      <c r="C4" s="13">
        <v>89747.790000000008</v>
      </c>
      <c r="E4" t="str">
        <f t="shared" ref="E4:E9" si="0">B4</f>
        <v>Allemagne</v>
      </c>
      <c r="F4">
        <f t="shared" ref="F4:F10" si="1">C4</f>
        <v>89747.790000000008</v>
      </c>
    </row>
    <row r="5" spans="1:21" x14ac:dyDescent="0.3">
      <c r="B5" s="11" t="s">
        <v>16</v>
      </c>
      <c r="C5" s="13">
        <v>91130.52</v>
      </c>
      <c r="E5" t="str">
        <f t="shared" si="0"/>
        <v>Belgique</v>
      </c>
      <c r="F5">
        <f t="shared" si="1"/>
        <v>91130.52</v>
      </c>
    </row>
    <row r="6" spans="1:21" x14ac:dyDescent="0.3">
      <c r="B6" s="11" t="s">
        <v>22</v>
      </c>
      <c r="C6" s="13">
        <v>86414.41</v>
      </c>
      <c r="E6" t="str">
        <f t="shared" si="0"/>
        <v>Espagne</v>
      </c>
      <c r="F6">
        <f t="shared" si="1"/>
        <v>86414.41</v>
      </c>
    </row>
    <row r="7" spans="1:21" x14ac:dyDescent="0.3">
      <c r="B7" s="11" t="s">
        <v>18</v>
      </c>
      <c r="C7" s="13">
        <v>95663.989999999991</v>
      </c>
      <c r="E7" t="str">
        <f t="shared" si="0"/>
        <v>France</v>
      </c>
      <c r="F7">
        <f t="shared" si="1"/>
        <v>95663.989999999991</v>
      </c>
    </row>
    <row r="8" spans="1:21" x14ac:dyDescent="0.3">
      <c r="B8" s="11" t="s">
        <v>20</v>
      </c>
      <c r="C8" s="13">
        <v>87541.37000000001</v>
      </c>
      <c r="E8" t="str">
        <f t="shared" si="0"/>
        <v>Italie</v>
      </c>
      <c r="F8">
        <f t="shared" si="1"/>
        <v>87541.37000000001</v>
      </c>
    </row>
    <row r="9" spans="1:21" x14ac:dyDescent="0.3">
      <c r="B9" s="11" t="s">
        <v>21</v>
      </c>
      <c r="C9" s="13">
        <v>94611.96</v>
      </c>
      <c r="E9" t="str">
        <f t="shared" si="0"/>
        <v>Portugal</v>
      </c>
      <c r="F9">
        <f t="shared" si="1"/>
        <v>94611.96</v>
      </c>
    </row>
    <row r="10" spans="1:21" x14ac:dyDescent="0.3">
      <c r="B10" s="11" t="s">
        <v>23</v>
      </c>
      <c r="C10" s="13">
        <v>100823.92</v>
      </c>
      <c r="E10" t="str">
        <f t="shared" ref="E10" si="2">B10</f>
        <v>Suisse</v>
      </c>
      <c r="F10">
        <f t="shared" si="1"/>
        <v>100823.92</v>
      </c>
    </row>
    <row r="11" spans="1:21" x14ac:dyDescent="0.3">
      <c r="B11" s="11" t="s">
        <v>30</v>
      </c>
      <c r="C11" s="13">
        <v>645933.96</v>
      </c>
    </row>
    <row r="12" spans="1:21" x14ac:dyDescent="0.3">
      <c r="B12" s="11" t="s">
        <v>51</v>
      </c>
      <c r="I12" t="s">
        <v>52</v>
      </c>
    </row>
    <row r="13" spans="1:21" x14ac:dyDescent="0.3">
      <c r="B13" s="10" t="s">
        <v>29</v>
      </c>
      <c r="C13" t="s">
        <v>31</v>
      </c>
      <c r="D13" t="s">
        <v>32</v>
      </c>
      <c r="E13" t="s">
        <v>33</v>
      </c>
      <c r="G13" s="10" t="s">
        <v>29</v>
      </c>
      <c r="H13" t="s">
        <v>31</v>
      </c>
      <c r="I13" t="s">
        <v>36</v>
      </c>
    </row>
    <row r="14" spans="1:21" x14ac:dyDescent="0.3">
      <c r="B14" s="14">
        <v>44927</v>
      </c>
      <c r="C14" s="13">
        <v>25390</v>
      </c>
      <c r="D14" s="13">
        <v>30000</v>
      </c>
      <c r="E14" s="15">
        <v>0.84857142857142864</v>
      </c>
      <c r="G14" s="14">
        <v>44927</v>
      </c>
      <c r="H14" s="13">
        <v>25390</v>
      </c>
      <c r="I14" s="13">
        <v>10169.4</v>
      </c>
    </row>
    <row r="15" spans="1:21" x14ac:dyDescent="0.3">
      <c r="B15" s="14">
        <v>44958</v>
      </c>
      <c r="C15" s="13">
        <v>38155</v>
      </c>
      <c r="D15" s="13">
        <v>45000</v>
      </c>
      <c r="E15" s="15">
        <v>0.872857142857143</v>
      </c>
      <c r="G15" s="14">
        <v>44958</v>
      </c>
      <c r="H15" s="13">
        <v>38155</v>
      </c>
      <c r="I15" s="13">
        <v>17427.599999999999</v>
      </c>
    </row>
    <row r="16" spans="1:21" x14ac:dyDescent="0.3">
      <c r="B16" s="14">
        <v>44986</v>
      </c>
      <c r="C16" s="13">
        <v>49117.560000000005</v>
      </c>
      <c r="D16" s="13">
        <v>60004</v>
      </c>
      <c r="E16" s="15">
        <v>0.81857142857142851</v>
      </c>
      <c r="G16" s="14">
        <v>44986</v>
      </c>
      <c r="H16" s="13">
        <v>49117.560000000005</v>
      </c>
      <c r="I16" s="13">
        <v>20691.950799999999</v>
      </c>
    </row>
    <row r="17" spans="2:9" x14ac:dyDescent="0.3">
      <c r="B17" s="14">
        <v>45017</v>
      </c>
      <c r="C17" s="13">
        <v>49583.98</v>
      </c>
      <c r="D17" s="13">
        <v>55006</v>
      </c>
      <c r="E17" s="15">
        <v>0.90142857142857136</v>
      </c>
      <c r="G17" s="14">
        <v>45017</v>
      </c>
      <c r="H17" s="13">
        <v>49583.98</v>
      </c>
      <c r="I17" s="13">
        <v>22254.248900000002</v>
      </c>
    </row>
    <row r="18" spans="2:9" x14ac:dyDescent="0.3">
      <c r="B18" s="14">
        <v>45047</v>
      </c>
      <c r="C18" s="13">
        <v>65145.3</v>
      </c>
      <c r="D18" s="13">
        <v>80003</v>
      </c>
      <c r="E18" s="15">
        <v>0.81428571428571439</v>
      </c>
      <c r="G18" s="14">
        <v>45047</v>
      </c>
      <c r="H18" s="13">
        <v>65145.3</v>
      </c>
      <c r="I18" s="13">
        <v>28267.917149999994</v>
      </c>
    </row>
    <row r="19" spans="2:9" x14ac:dyDescent="0.3">
      <c r="B19" s="14">
        <v>45078</v>
      </c>
      <c r="C19" s="13">
        <v>83001.659999999989</v>
      </c>
      <c r="D19" s="13">
        <v>100002</v>
      </c>
      <c r="E19" s="15">
        <v>0.83</v>
      </c>
      <c r="G19" s="14">
        <v>45078</v>
      </c>
      <c r="H19" s="13">
        <v>83001.659999999989</v>
      </c>
      <c r="I19" s="13">
        <v>36232.867499999993</v>
      </c>
    </row>
    <row r="20" spans="2:9" x14ac:dyDescent="0.3">
      <c r="B20" s="14">
        <v>45108</v>
      </c>
      <c r="C20" s="13">
        <v>118431.93999999999</v>
      </c>
      <c r="D20" s="13">
        <v>129941</v>
      </c>
      <c r="E20" s="15">
        <v>0.91142857142857137</v>
      </c>
      <c r="G20" s="14">
        <v>45108</v>
      </c>
      <c r="H20" s="13">
        <v>118431.93999999999</v>
      </c>
      <c r="I20" s="13">
        <v>48723.234250000001</v>
      </c>
    </row>
    <row r="21" spans="2:9" x14ac:dyDescent="0.3">
      <c r="B21" s="14">
        <v>45139</v>
      </c>
      <c r="C21" s="13">
        <v>110317.68000000001</v>
      </c>
      <c r="D21" s="13">
        <v>130004</v>
      </c>
      <c r="E21" s="15">
        <v>0.84857142857142853</v>
      </c>
      <c r="G21" s="14">
        <v>45139</v>
      </c>
      <c r="H21" s="13">
        <v>110317.68000000001</v>
      </c>
      <c r="I21" s="13">
        <v>44877.380799999999</v>
      </c>
    </row>
    <row r="22" spans="2:9" x14ac:dyDescent="0.3">
      <c r="B22" s="14">
        <v>45170</v>
      </c>
      <c r="C22" s="13">
        <v>106790.84000000001</v>
      </c>
      <c r="D22" s="13">
        <v>125006</v>
      </c>
      <c r="E22" s="15">
        <v>0.8542857142857142</v>
      </c>
      <c r="G22" s="14">
        <v>45170</v>
      </c>
      <c r="H22" s="13">
        <v>106790.84000000001</v>
      </c>
      <c r="I22" s="13">
        <v>44962.872400000007</v>
      </c>
    </row>
    <row r="24" spans="2:9" x14ac:dyDescent="0.3">
      <c r="C24" s="13">
        <f>SUM(C14:C23)</f>
        <v>645933.96</v>
      </c>
      <c r="D24" s="13">
        <f>SUM(D14:D23)</f>
        <v>754966</v>
      </c>
      <c r="E24" s="1">
        <f>AVERAGE(E14:E23)</f>
        <v>0.85555555555555551</v>
      </c>
      <c r="F24" t="s">
        <v>34</v>
      </c>
    </row>
    <row r="25" spans="2:9" x14ac:dyDescent="0.3">
      <c r="E25" s="15">
        <f>1-E24</f>
        <v>0.14444444444444449</v>
      </c>
      <c r="F25" t="s">
        <v>35</v>
      </c>
    </row>
    <row r="27" spans="2:9" x14ac:dyDescent="0.3">
      <c r="B27" s="10" t="s">
        <v>29</v>
      </c>
      <c r="C27" t="s">
        <v>36</v>
      </c>
      <c r="D27" t="s">
        <v>37</v>
      </c>
      <c r="E27" t="s">
        <v>38</v>
      </c>
    </row>
    <row r="28" spans="2:9" x14ac:dyDescent="0.3">
      <c r="B28" s="14">
        <v>44927</v>
      </c>
      <c r="C28" s="13">
        <v>10169.4</v>
      </c>
      <c r="D28" s="13">
        <v>12000</v>
      </c>
      <c r="E28" s="15">
        <v>0.40642857142857142</v>
      </c>
    </row>
    <row r="29" spans="2:9" x14ac:dyDescent="0.3">
      <c r="B29" s="14">
        <v>44958</v>
      </c>
      <c r="C29" s="13">
        <v>17427.599999999999</v>
      </c>
      <c r="D29" s="13">
        <v>18000</v>
      </c>
      <c r="E29" s="15">
        <v>0.46214285714285713</v>
      </c>
    </row>
    <row r="30" spans="2:9" x14ac:dyDescent="0.3">
      <c r="B30" s="14">
        <v>44986</v>
      </c>
      <c r="C30" s="13">
        <v>20691.950799999999</v>
      </c>
      <c r="D30" s="13">
        <v>24001.599999999999</v>
      </c>
      <c r="E30" s="15">
        <v>0.42071428571428571</v>
      </c>
    </row>
    <row r="31" spans="2:9" x14ac:dyDescent="0.3">
      <c r="B31" s="14">
        <v>45017</v>
      </c>
      <c r="C31" s="13">
        <v>22254.248900000002</v>
      </c>
      <c r="D31" s="13">
        <v>22002.400000000001</v>
      </c>
      <c r="E31" s="15">
        <v>0.44857142857142851</v>
      </c>
    </row>
    <row r="32" spans="2:9" x14ac:dyDescent="0.3">
      <c r="B32" s="14">
        <v>45047</v>
      </c>
      <c r="C32" s="13">
        <v>28267.917149999994</v>
      </c>
      <c r="D32" s="13">
        <v>32001.199999999997</v>
      </c>
      <c r="E32" s="15">
        <v>0.43571428571428567</v>
      </c>
    </row>
    <row r="33" spans="2:11" x14ac:dyDescent="0.3">
      <c r="B33" s="14">
        <v>45078</v>
      </c>
      <c r="C33" s="13">
        <v>36232.867499999993</v>
      </c>
      <c r="D33" s="13">
        <v>40000.800000000003</v>
      </c>
      <c r="E33" s="15">
        <v>0.43571428571428567</v>
      </c>
    </row>
    <row r="34" spans="2:11" x14ac:dyDescent="0.3">
      <c r="B34" s="14">
        <v>45108</v>
      </c>
      <c r="C34" s="13">
        <v>48723.234250000001</v>
      </c>
      <c r="D34" s="13">
        <v>51976.399999999994</v>
      </c>
      <c r="E34" s="15">
        <v>0.4107142857142857</v>
      </c>
    </row>
    <row r="35" spans="2:11" x14ac:dyDescent="0.3">
      <c r="B35" s="14">
        <v>45139</v>
      </c>
      <c r="C35" s="13">
        <v>44877.380799999999</v>
      </c>
      <c r="D35" s="13">
        <v>52001.600000000006</v>
      </c>
      <c r="E35" s="15">
        <v>0.40714285714285708</v>
      </c>
    </row>
    <row r="36" spans="2:11" x14ac:dyDescent="0.3">
      <c r="B36" s="14">
        <v>45170</v>
      </c>
      <c r="C36" s="13">
        <v>44962.872400000007</v>
      </c>
      <c r="D36" s="13">
        <v>50002.399999999994</v>
      </c>
      <c r="E36" s="15">
        <v>0.42</v>
      </c>
    </row>
    <row r="37" spans="2:11" x14ac:dyDescent="0.3">
      <c r="E37" s="1"/>
    </row>
    <row r="38" spans="2:11" x14ac:dyDescent="0.3">
      <c r="C38" s="13">
        <f>SUM(C28:C37)</f>
        <v>273607.4718</v>
      </c>
      <c r="D38" s="13">
        <f t="shared" ref="D38" si="3">SUM(D28:D37)</f>
        <v>301986.40000000002</v>
      </c>
      <c r="E38" s="1">
        <f>AVERAGE(E28:E37)</f>
        <v>0.42746031746031732</v>
      </c>
      <c r="F38" t="s">
        <v>47</v>
      </c>
    </row>
    <row r="39" spans="2:11" x14ac:dyDescent="0.3">
      <c r="E39" s="1">
        <f>1-E38</f>
        <v>0.57253968253968268</v>
      </c>
      <c r="F39" t="s">
        <v>35</v>
      </c>
    </row>
    <row r="41" spans="2:11" x14ac:dyDescent="0.3">
      <c r="B41" s="10" t="s">
        <v>40</v>
      </c>
      <c r="C41" s="10" t="s">
        <v>39</v>
      </c>
    </row>
    <row r="42" spans="2:11" x14ac:dyDescent="0.3">
      <c r="B42" s="10" t="s">
        <v>29</v>
      </c>
      <c r="C42" t="s">
        <v>19</v>
      </c>
      <c r="D42" t="s">
        <v>16</v>
      </c>
      <c r="E42" t="s">
        <v>22</v>
      </c>
      <c r="F42" t="s">
        <v>18</v>
      </c>
      <c r="G42" t="s">
        <v>20</v>
      </c>
      <c r="H42" t="s">
        <v>21</v>
      </c>
      <c r="I42" t="s">
        <v>23</v>
      </c>
    </row>
    <row r="43" spans="2:11" x14ac:dyDescent="0.3">
      <c r="B43" s="14">
        <v>44927</v>
      </c>
      <c r="C43" s="16">
        <v>15</v>
      </c>
      <c r="D43" s="16">
        <v>80</v>
      </c>
      <c r="E43" s="16">
        <v>15</v>
      </c>
      <c r="F43" s="16">
        <v>30</v>
      </c>
      <c r="G43" s="16">
        <v>40</v>
      </c>
      <c r="H43" s="16">
        <v>100</v>
      </c>
      <c r="I43" s="16">
        <v>20</v>
      </c>
      <c r="K43" s="16">
        <f>SUM(C43:I43)</f>
        <v>300</v>
      </c>
    </row>
    <row r="44" spans="2:11" x14ac:dyDescent="0.3">
      <c r="B44" s="14">
        <v>44958</v>
      </c>
      <c r="C44" s="16">
        <v>15</v>
      </c>
      <c r="D44" s="16">
        <v>90</v>
      </c>
      <c r="E44" s="16">
        <v>15</v>
      </c>
      <c r="F44" s="16">
        <v>30</v>
      </c>
      <c r="G44" s="16">
        <v>40</v>
      </c>
      <c r="H44" s="16">
        <v>100</v>
      </c>
      <c r="I44" s="16">
        <v>20</v>
      </c>
      <c r="K44" s="16">
        <f t="shared" ref="K44:K51" si="4">SUM(C44:I44)</f>
        <v>310</v>
      </c>
    </row>
    <row r="45" spans="2:11" x14ac:dyDescent="0.3">
      <c r="B45" s="14">
        <v>44986</v>
      </c>
      <c r="C45" s="16">
        <v>43</v>
      </c>
      <c r="D45" s="16">
        <v>45</v>
      </c>
      <c r="E45" s="16">
        <v>40</v>
      </c>
      <c r="F45" s="16">
        <v>43</v>
      </c>
      <c r="G45" s="16">
        <v>43</v>
      </c>
      <c r="H45" s="16">
        <v>43</v>
      </c>
      <c r="I45" s="16">
        <v>43</v>
      </c>
      <c r="K45" s="16">
        <f t="shared" si="4"/>
        <v>300</v>
      </c>
    </row>
    <row r="46" spans="2:11" x14ac:dyDescent="0.3">
      <c r="B46" s="14">
        <v>45017</v>
      </c>
      <c r="C46" s="16">
        <v>100</v>
      </c>
      <c r="D46" s="16">
        <v>100</v>
      </c>
      <c r="E46" s="16">
        <v>100</v>
      </c>
      <c r="F46" s="16">
        <v>100</v>
      </c>
      <c r="G46" s="16">
        <v>100</v>
      </c>
      <c r="H46" s="16">
        <v>100</v>
      </c>
      <c r="I46" s="16">
        <v>100</v>
      </c>
      <c r="K46" s="16">
        <f t="shared" si="4"/>
        <v>700</v>
      </c>
    </row>
    <row r="47" spans="2:11" x14ac:dyDescent="0.3">
      <c r="B47" s="14">
        <v>45047</v>
      </c>
      <c r="C47" s="16">
        <v>90</v>
      </c>
      <c r="D47" s="16">
        <v>90</v>
      </c>
      <c r="E47" s="16">
        <v>100</v>
      </c>
      <c r="F47" s="16">
        <v>80</v>
      </c>
      <c r="G47" s="16">
        <v>110</v>
      </c>
      <c r="H47" s="16">
        <v>90</v>
      </c>
      <c r="I47" s="16">
        <v>90</v>
      </c>
      <c r="K47" s="16">
        <f t="shared" si="4"/>
        <v>650</v>
      </c>
    </row>
    <row r="48" spans="2:11" x14ac:dyDescent="0.3">
      <c r="B48" s="14">
        <v>45078</v>
      </c>
      <c r="C48" s="16">
        <v>228</v>
      </c>
      <c r="D48" s="16">
        <v>228</v>
      </c>
      <c r="E48" s="16">
        <v>230</v>
      </c>
      <c r="F48" s="16">
        <v>220</v>
      </c>
      <c r="G48" s="16">
        <v>238</v>
      </c>
      <c r="H48" s="16">
        <v>228</v>
      </c>
      <c r="I48" s="16">
        <v>228</v>
      </c>
      <c r="K48" s="16">
        <f t="shared" si="4"/>
        <v>1600</v>
      </c>
    </row>
    <row r="49" spans="2:12" x14ac:dyDescent="0.3">
      <c r="B49" s="14">
        <v>45108</v>
      </c>
      <c r="C49" s="16">
        <v>270</v>
      </c>
      <c r="D49" s="16">
        <v>250</v>
      </c>
      <c r="E49" s="16">
        <v>260</v>
      </c>
      <c r="F49" s="16">
        <v>240</v>
      </c>
      <c r="G49" s="16">
        <v>259</v>
      </c>
      <c r="H49" s="16">
        <v>260</v>
      </c>
      <c r="I49" s="16">
        <v>261</v>
      </c>
      <c r="K49" s="16">
        <f t="shared" si="4"/>
        <v>1800</v>
      </c>
    </row>
    <row r="50" spans="2:12" x14ac:dyDescent="0.3">
      <c r="B50" s="14">
        <v>45139</v>
      </c>
      <c r="C50" s="16">
        <v>242</v>
      </c>
      <c r="D50" s="16">
        <v>242</v>
      </c>
      <c r="E50" s="16">
        <v>240</v>
      </c>
      <c r="F50" s="16">
        <v>250</v>
      </c>
      <c r="G50" s="16">
        <v>242</v>
      </c>
      <c r="H50" s="16">
        <v>242</v>
      </c>
      <c r="I50" s="16">
        <v>242</v>
      </c>
      <c r="K50" s="16">
        <f t="shared" si="4"/>
        <v>1700</v>
      </c>
    </row>
    <row r="51" spans="2:12" x14ac:dyDescent="0.3">
      <c r="B51" s="14">
        <v>45170</v>
      </c>
      <c r="C51" s="16">
        <v>285</v>
      </c>
      <c r="D51" s="16">
        <v>285</v>
      </c>
      <c r="E51" s="16">
        <v>270</v>
      </c>
      <c r="F51" s="16">
        <v>275</v>
      </c>
      <c r="G51" s="16">
        <v>290</v>
      </c>
      <c r="H51" s="16">
        <v>310</v>
      </c>
      <c r="I51" s="16">
        <v>285</v>
      </c>
      <c r="K51" s="16">
        <f t="shared" si="4"/>
        <v>2000</v>
      </c>
    </row>
    <row r="53" spans="2:12" x14ac:dyDescent="0.3">
      <c r="C53" s="16">
        <f>SUM(C43:C51)</f>
        <v>1288</v>
      </c>
      <c r="D53" s="16">
        <f t="shared" ref="D53:H53" si="5">SUM(D43:D51)</f>
        <v>1410</v>
      </c>
      <c r="E53" s="16">
        <f t="shared" si="5"/>
        <v>1270</v>
      </c>
      <c r="F53" s="16">
        <f t="shared" si="5"/>
        <v>1268</v>
      </c>
      <c r="G53" s="16">
        <f t="shared" si="5"/>
        <v>1362</v>
      </c>
      <c r="H53" s="16">
        <f t="shared" si="5"/>
        <v>1473</v>
      </c>
      <c r="I53" s="16">
        <f>SUM(I43:I51)</f>
        <v>1289</v>
      </c>
      <c r="K53" s="16">
        <f>SUM(K43:K51)</f>
        <v>9360</v>
      </c>
    </row>
    <row r="55" spans="2:12" x14ac:dyDescent="0.3">
      <c r="B55" s="10" t="s">
        <v>41</v>
      </c>
      <c r="C55" s="10" t="s">
        <v>39</v>
      </c>
    </row>
    <row r="56" spans="2:12" x14ac:dyDescent="0.3">
      <c r="B56" s="10" t="s">
        <v>29</v>
      </c>
      <c r="C56" t="s">
        <v>19</v>
      </c>
      <c r="D56" t="s">
        <v>16</v>
      </c>
      <c r="E56" t="s">
        <v>22</v>
      </c>
      <c r="F56" t="s">
        <v>18</v>
      </c>
      <c r="G56" t="s">
        <v>20</v>
      </c>
      <c r="H56" t="s">
        <v>21</v>
      </c>
      <c r="I56" t="s">
        <v>23</v>
      </c>
    </row>
    <row r="57" spans="2:12" x14ac:dyDescent="0.3">
      <c r="B57" s="14">
        <v>44927</v>
      </c>
      <c r="C57" s="15">
        <v>0.72599999999999998</v>
      </c>
      <c r="D57" s="15">
        <v>0.8</v>
      </c>
      <c r="E57" s="15">
        <v>0.72399999999999998</v>
      </c>
      <c r="F57" s="15">
        <v>0.69400000000000017</v>
      </c>
      <c r="G57" s="15">
        <v>0.62800000000000011</v>
      </c>
      <c r="H57" s="15">
        <v>0.85799999999999998</v>
      </c>
      <c r="I57" s="15">
        <v>0.74199999999999999</v>
      </c>
      <c r="J57" s="1"/>
      <c r="K57" s="1">
        <f>AVERAGE(C57:I57)</f>
        <v>0.73885714285714277</v>
      </c>
      <c r="L57" t="s">
        <v>49</v>
      </c>
    </row>
    <row r="58" spans="2:12" x14ac:dyDescent="0.3">
      <c r="B58" s="14">
        <v>44958</v>
      </c>
      <c r="C58" s="15">
        <v>0.77600000000000002</v>
      </c>
      <c r="D58" s="15">
        <v>0.69199999999999995</v>
      </c>
      <c r="E58" s="15">
        <v>0.75800000000000001</v>
      </c>
      <c r="F58" s="15">
        <v>0.79799999999999993</v>
      </c>
      <c r="G58" s="15">
        <v>0.66400000000000003</v>
      </c>
      <c r="H58" s="15">
        <v>0.70600000000000007</v>
      </c>
      <c r="I58" s="15">
        <v>0.67199999999999993</v>
      </c>
      <c r="J58" s="1"/>
      <c r="K58" s="1">
        <f t="shared" ref="K58:K65" si="6">AVERAGE(C58:I58)</f>
        <v>0.72371428571428564</v>
      </c>
    </row>
    <row r="59" spans="2:12" x14ac:dyDescent="0.3">
      <c r="B59" s="14">
        <v>44986</v>
      </c>
      <c r="C59" s="15">
        <v>0.68600000000000005</v>
      </c>
      <c r="D59" s="15">
        <v>0.78400000000000003</v>
      </c>
      <c r="E59" s="15">
        <v>0.68799999999999994</v>
      </c>
      <c r="F59" s="15">
        <v>0.67</v>
      </c>
      <c r="G59" s="15">
        <v>0.73000000000000009</v>
      </c>
      <c r="H59" s="15">
        <v>0.65</v>
      </c>
      <c r="I59" s="15">
        <v>0.69000000000000006</v>
      </c>
      <c r="J59" s="1"/>
      <c r="K59" s="1">
        <f t="shared" si="6"/>
        <v>0.69971428571428584</v>
      </c>
    </row>
    <row r="60" spans="2:12" x14ac:dyDescent="0.3">
      <c r="B60" s="14">
        <v>45017</v>
      </c>
      <c r="C60" s="15">
        <v>0.74399999999999999</v>
      </c>
      <c r="D60" s="15">
        <v>0.68800000000000006</v>
      </c>
      <c r="E60" s="15">
        <v>0.71799999999999997</v>
      </c>
      <c r="F60" s="15">
        <v>0.70399999999999996</v>
      </c>
      <c r="G60" s="15">
        <v>0.75</v>
      </c>
      <c r="H60" s="15">
        <v>0.67199999999999993</v>
      </c>
      <c r="I60" s="15">
        <v>0.77799999999999991</v>
      </c>
      <c r="J60" s="1"/>
      <c r="K60" s="1">
        <f t="shared" si="6"/>
        <v>0.72199999999999986</v>
      </c>
    </row>
    <row r="61" spans="2:12" x14ac:dyDescent="0.3">
      <c r="B61" s="14">
        <v>45047</v>
      </c>
      <c r="C61" s="15">
        <v>0.78600000000000003</v>
      </c>
      <c r="D61" s="15">
        <v>0.67800000000000016</v>
      </c>
      <c r="E61" s="15">
        <v>0.69199999999999995</v>
      </c>
      <c r="F61" s="15">
        <v>0.83800000000000008</v>
      </c>
      <c r="G61" s="15">
        <v>0.72399999999999998</v>
      </c>
      <c r="H61" s="15">
        <v>0.69000000000000006</v>
      </c>
      <c r="I61" s="15">
        <v>0.76800000000000002</v>
      </c>
      <c r="J61" s="1"/>
      <c r="K61" s="1">
        <f t="shared" si="6"/>
        <v>0.73942857142857144</v>
      </c>
    </row>
    <row r="62" spans="2:12" x14ac:dyDescent="0.3">
      <c r="B62" s="14">
        <v>45078</v>
      </c>
      <c r="C62" s="15">
        <v>0.66199999999999992</v>
      </c>
      <c r="D62" s="15">
        <v>0.68399999999999994</v>
      </c>
      <c r="E62" s="15">
        <v>0.63200000000000001</v>
      </c>
      <c r="F62" s="15">
        <v>0.70200000000000007</v>
      </c>
      <c r="G62" s="15">
        <v>0.72199999999999998</v>
      </c>
      <c r="H62" s="15">
        <v>0.73000000000000009</v>
      </c>
      <c r="I62" s="15">
        <v>0.74</v>
      </c>
      <c r="J62" s="1"/>
      <c r="K62" s="1">
        <f t="shared" si="6"/>
        <v>0.69599999999999995</v>
      </c>
    </row>
    <row r="63" spans="2:12" x14ac:dyDescent="0.3">
      <c r="B63" s="14">
        <v>45108</v>
      </c>
      <c r="C63" s="15">
        <v>0.75600000000000001</v>
      </c>
      <c r="D63" s="15">
        <v>0.67599999999999993</v>
      </c>
      <c r="E63" s="15">
        <v>0.55999999999999994</v>
      </c>
      <c r="F63" s="15">
        <v>0.76200000000000012</v>
      </c>
      <c r="G63" s="15">
        <v>0.67599999999999993</v>
      </c>
      <c r="H63" s="15">
        <v>0.69000000000000006</v>
      </c>
      <c r="I63" s="15">
        <v>0.63200000000000001</v>
      </c>
      <c r="J63" s="1"/>
      <c r="K63" s="1">
        <f t="shared" si="6"/>
        <v>0.67885714285714283</v>
      </c>
    </row>
    <row r="64" spans="2:12" x14ac:dyDescent="0.3">
      <c r="B64" s="14">
        <v>45139</v>
      </c>
      <c r="C64" s="15">
        <v>0.76400000000000001</v>
      </c>
      <c r="D64" s="15">
        <v>0.63800000000000001</v>
      </c>
      <c r="E64" s="15">
        <v>0.61</v>
      </c>
      <c r="F64" s="15">
        <v>0.77000000000000013</v>
      </c>
      <c r="G64" s="15">
        <v>0.69000000000000006</v>
      </c>
      <c r="H64" s="15">
        <v>0.7659999999999999</v>
      </c>
      <c r="I64" s="15">
        <v>0.64200000000000002</v>
      </c>
      <c r="J64" s="1"/>
      <c r="K64" s="1">
        <f t="shared" si="6"/>
        <v>0.69714285714285718</v>
      </c>
    </row>
    <row r="65" spans="2:12" x14ac:dyDescent="0.3">
      <c r="B65" s="14">
        <v>45170</v>
      </c>
      <c r="C65" s="15">
        <v>0.64600000000000002</v>
      </c>
      <c r="D65" s="15">
        <v>0.77</v>
      </c>
      <c r="E65" s="15">
        <v>0.68599999999999994</v>
      </c>
      <c r="F65" s="15">
        <v>0.76</v>
      </c>
      <c r="G65" s="15">
        <v>0.67999999999999994</v>
      </c>
      <c r="H65" s="15">
        <v>0.65600000000000003</v>
      </c>
      <c r="I65" s="15">
        <v>0.73399999999999999</v>
      </c>
      <c r="J65" s="1"/>
      <c r="K65" s="1">
        <f t="shared" si="6"/>
        <v>0.70457142857142852</v>
      </c>
    </row>
    <row r="66" spans="2:12" x14ac:dyDescent="0.3">
      <c r="C66" s="1"/>
      <c r="D66" s="1"/>
      <c r="E66" s="1"/>
      <c r="F66" s="1"/>
      <c r="G66" s="1"/>
      <c r="H66" s="1"/>
      <c r="I66" s="1"/>
      <c r="J66" s="1"/>
      <c r="K66" s="1"/>
    </row>
    <row r="67" spans="2:12" x14ac:dyDescent="0.3">
      <c r="C67" s="1">
        <f>AVERAGE(C57:C65)</f>
        <v>0.7273333333333335</v>
      </c>
      <c r="D67" s="1">
        <f t="shared" ref="D67:I67" si="7">AVERAGE(D57:D65)</f>
        <v>0.7122222222222222</v>
      </c>
      <c r="E67" s="1">
        <f t="shared" si="7"/>
        <v>0.67422222222222217</v>
      </c>
      <c r="F67" s="1">
        <f t="shared" si="7"/>
        <v>0.74422222222222223</v>
      </c>
      <c r="G67" s="1">
        <f t="shared" si="7"/>
        <v>0.69600000000000006</v>
      </c>
      <c r="H67" s="1">
        <f t="shared" si="7"/>
        <v>0.71311111111111114</v>
      </c>
      <c r="I67" s="1">
        <f t="shared" si="7"/>
        <v>0.7108888888888889</v>
      </c>
      <c r="J67" s="1"/>
      <c r="K67" s="1">
        <f>AVERAGE(K57:K65)</f>
        <v>0.71114285714285719</v>
      </c>
      <c r="L67" t="s">
        <v>50</v>
      </c>
    </row>
    <row r="68" spans="2:12" x14ac:dyDescent="0.3">
      <c r="K68" s="15">
        <f>1-K67</f>
        <v>0.28885714285714281</v>
      </c>
      <c r="L68" t="s">
        <v>48</v>
      </c>
    </row>
    <row r="69" spans="2:12" x14ac:dyDescent="0.3">
      <c r="B69" t="s">
        <v>42</v>
      </c>
      <c r="C69" t="s">
        <v>43</v>
      </c>
      <c r="D69" t="s">
        <v>44</v>
      </c>
      <c r="E69" t="s">
        <v>45</v>
      </c>
      <c r="F69" t="s">
        <v>46</v>
      </c>
    </row>
    <row r="70" spans="2:12" x14ac:dyDescent="0.3">
      <c r="B70" s="15">
        <v>0.68746031746031755</v>
      </c>
      <c r="C70" s="15">
        <v>0.70365079365079375</v>
      </c>
      <c r="D70" s="15">
        <v>0.72015873015873011</v>
      </c>
      <c r="E70" s="15">
        <v>0.66634920634920625</v>
      </c>
      <c r="F70" s="15">
        <v>0.77809523809523806</v>
      </c>
    </row>
    <row r="72" spans="2:12" x14ac:dyDescent="0.3">
      <c r="B72" s="12" t="s">
        <v>42</v>
      </c>
      <c r="D72" s="15">
        <f>B70</f>
        <v>0.68746031746031755</v>
      </c>
      <c r="E72" t="s">
        <v>53</v>
      </c>
    </row>
    <row r="73" spans="2:12" x14ac:dyDescent="0.3">
      <c r="B73" s="12" t="s">
        <v>43</v>
      </c>
      <c r="D73" s="15">
        <f>C70</f>
        <v>0.70365079365079375</v>
      </c>
    </row>
    <row r="74" spans="2:12" x14ac:dyDescent="0.3">
      <c r="B74" s="12" t="s">
        <v>44</v>
      </c>
      <c r="D74" s="15">
        <f>D70</f>
        <v>0.72015873015873011</v>
      </c>
    </row>
    <row r="75" spans="2:12" x14ac:dyDescent="0.3">
      <c r="B75" s="12" t="s">
        <v>45</v>
      </c>
      <c r="D75" s="15">
        <f>E70</f>
        <v>0.66634920634920625</v>
      </c>
    </row>
    <row r="76" spans="2:12" x14ac:dyDescent="0.3">
      <c r="B76" s="12" t="s">
        <v>46</v>
      </c>
      <c r="D76" s="15">
        <f>F70</f>
        <v>0.77809523809523806</v>
      </c>
    </row>
  </sheetData>
  <pageMargins left="0.7" right="0.7" top="0.75" bottom="0.75" header="0.3" footer="0.3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57EF5-C8CF-4826-A9D3-B2BCED773415}">
  <sheetPr codeName="Feuil3"/>
  <dimension ref="A1:U1"/>
  <sheetViews>
    <sheetView workbookViewId="0">
      <selection activeCell="A7" sqref="A7"/>
    </sheetView>
  </sheetViews>
  <sheetFormatPr baseColWidth="10" defaultRowHeight="14.4" x14ac:dyDescent="0.3"/>
  <sheetData>
    <row r="1" spans="1:21" ht="50.1" customHeight="1" x14ac:dyDescent="0.3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1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9F77E-1E12-4DA1-8EEA-F3B162046841}">
  <sheetPr codeName="Feuil4">
    <tabColor rgb="FFFF0000"/>
  </sheetPr>
  <dimension ref="A1:U65"/>
  <sheetViews>
    <sheetView tabSelected="1" topLeftCell="G1" workbookViewId="0">
      <selection activeCell="S7" sqref="S7"/>
    </sheetView>
  </sheetViews>
  <sheetFormatPr baseColWidth="10" defaultColWidth="11.44140625" defaultRowHeight="14.4" x14ac:dyDescent="0.3"/>
  <cols>
    <col min="1" max="2" width="11.44140625" style="2"/>
    <col min="3" max="3" width="11.88671875" style="2" bestFit="1" customWidth="1"/>
    <col min="4" max="4" width="12.33203125" style="2" customWidth="1"/>
    <col min="5" max="5" width="11.88671875" style="2" customWidth="1"/>
    <col min="6" max="6" width="16.5546875" style="2" customWidth="1"/>
    <col min="7" max="7" width="15.88671875" style="2" customWidth="1"/>
    <col min="8" max="8" width="11.6640625" style="2" customWidth="1"/>
    <col min="9" max="9" width="20.33203125" style="2" customWidth="1"/>
    <col min="10" max="10" width="16" style="2" customWidth="1"/>
    <col min="11" max="11" width="23.33203125" style="2" customWidth="1"/>
    <col min="12" max="12" width="11.44140625" style="2"/>
    <col min="13" max="13" width="8.6640625" style="2" bestFit="1" customWidth="1"/>
    <col min="14" max="14" width="14.5546875" style="2" customWidth="1"/>
    <col min="15" max="16384" width="11.44140625" style="2"/>
  </cols>
  <sheetData>
    <row r="1" spans="1:21" customFormat="1" ht="50.1" customHeight="1" x14ac:dyDescent="0.3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17"/>
    </row>
    <row r="2" spans="1:2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55</v>
      </c>
    </row>
    <row r="3" spans="1:21" x14ac:dyDescent="0.3">
      <c r="A3" s="3">
        <v>44927</v>
      </c>
      <c r="B3" s="2" t="s">
        <v>16</v>
      </c>
      <c r="C3" s="4">
        <v>5000</v>
      </c>
      <c r="D3" s="4">
        <v>4450</v>
      </c>
      <c r="E3" s="4">
        <v>1891.25</v>
      </c>
      <c r="F3" s="4">
        <v>2000</v>
      </c>
      <c r="G3" s="2">
        <v>80</v>
      </c>
      <c r="H3" s="2" t="s">
        <v>17</v>
      </c>
      <c r="I3" s="5">
        <v>0.89</v>
      </c>
      <c r="J3" s="5">
        <v>0.42499999999999999</v>
      </c>
      <c r="K3" s="5">
        <v>0.8</v>
      </c>
      <c r="L3" s="5">
        <v>0.82</v>
      </c>
      <c r="M3" s="5">
        <v>0.87</v>
      </c>
      <c r="N3" s="5">
        <v>0.68</v>
      </c>
      <c r="O3" s="5">
        <v>0.86</v>
      </c>
      <c r="P3" s="5">
        <v>0.77</v>
      </c>
      <c r="S3" s="6" t="s">
        <v>26</v>
      </c>
    </row>
    <row r="4" spans="1:21" x14ac:dyDescent="0.3">
      <c r="A4" s="3">
        <v>44927</v>
      </c>
      <c r="B4" s="2" t="s">
        <v>18</v>
      </c>
      <c r="C4" s="4">
        <v>3500</v>
      </c>
      <c r="D4" s="4">
        <v>3290</v>
      </c>
      <c r="E4" s="4">
        <v>1562.75</v>
      </c>
      <c r="F4" s="4">
        <v>1400</v>
      </c>
      <c r="G4" s="2">
        <v>30</v>
      </c>
      <c r="H4" s="2" t="s">
        <v>17</v>
      </c>
      <c r="I4" s="5">
        <v>0.94</v>
      </c>
      <c r="J4" s="5">
        <v>0.47499999999999998</v>
      </c>
      <c r="K4" s="5">
        <v>0.69400000000000017</v>
      </c>
      <c r="L4" s="5">
        <v>0.63</v>
      </c>
      <c r="M4" s="5">
        <v>0.53</v>
      </c>
      <c r="N4" s="5">
        <v>0.66</v>
      </c>
      <c r="O4" s="5">
        <v>0.93</v>
      </c>
      <c r="P4" s="5">
        <v>0.72</v>
      </c>
      <c r="Q4" s="2" t="e" cm="1">
        <f t="array" ref="Q4">discount(C4)</f>
        <v>#VALUE!</v>
      </c>
      <c r="S4" s="8" t="s">
        <v>28</v>
      </c>
    </row>
    <row r="5" spans="1:21" x14ac:dyDescent="0.3">
      <c r="A5" s="3">
        <v>44927</v>
      </c>
      <c r="B5" s="2" t="s">
        <v>19</v>
      </c>
      <c r="C5" s="4">
        <v>1500</v>
      </c>
      <c r="D5" s="4">
        <v>1230</v>
      </c>
      <c r="E5" s="4">
        <v>492</v>
      </c>
      <c r="F5" s="4">
        <v>600</v>
      </c>
      <c r="G5" s="2">
        <v>15</v>
      </c>
      <c r="H5" s="2" t="s">
        <v>17</v>
      </c>
      <c r="I5" s="5">
        <v>0.82</v>
      </c>
      <c r="J5" s="5">
        <v>0.4</v>
      </c>
      <c r="K5" s="5">
        <v>0.72599999999999998</v>
      </c>
      <c r="L5" s="5">
        <v>0.68</v>
      </c>
      <c r="M5" s="5">
        <v>0.63</v>
      </c>
      <c r="N5" s="5">
        <v>0.7</v>
      </c>
      <c r="O5" s="5">
        <v>0.77</v>
      </c>
      <c r="P5" s="5">
        <v>0.85</v>
      </c>
      <c r="Q5" s="2" t="e" cm="1">
        <f t="array" ref="Q5">discount(C5)</f>
        <v>#VALUE!</v>
      </c>
      <c r="S5" s="7" t="s">
        <v>27</v>
      </c>
    </row>
    <row r="6" spans="1:21" x14ac:dyDescent="0.3">
      <c r="A6" s="3">
        <v>44927</v>
      </c>
      <c r="B6" s="2" t="s">
        <v>20</v>
      </c>
      <c r="C6" s="4">
        <v>1500</v>
      </c>
      <c r="D6" s="4">
        <v>1185</v>
      </c>
      <c r="E6" s="4">
        <v>468.07500000000005</v>
      </c>
      <c r="F6" s="4">
        <v>600</v>
      </c>
      <c r="G6" s="2">
        <v>40</v>
      </c>
      <c r="H6" s="2" t="s">
        <v>17</v>
      </c>
      <c r="I6" s="5">
        <v>0.79</v>
      </c>
      <c r="J6" s="5">
        <v>0.39500000000000002</v>
      </c>
      <c r="K6" s="5">
        <v>0.62800000000000011</v>
      </c>
      <c r="L6" s="5">
        <v>0.6</v>
      </c>
      <c r="M6" s="5">
        <v>0.6</v>
      </c>
      <c r="N6" s="5">
        <v>0.65</v>
      </c>
      <c r="O6" s="5">
        <v>0.51</v>
      </c>
      <c r="P6" s="5">
        <v>0.78</v>
      </c>
      <c r="Q6" s="2" t="e" cm="1">
        <f t="array" ref="Q6">discount(C6)</f>
        <v>#VALUE!</v>
      </c>
    </row>
    <row r="7" spans="1:21" x14ac:dyDescent="0.3">
      <c r="A7" s="3">
        <v>44927</v>
      </c>
      <c r="B7" s="2" t="s">
        <v>21</v>
      </c>
      <c r="C7" s="4">
        <v>6000</v>
      </c>
      <c r="D7" s="4">
        <v>5760</v>
      </c>
      <c r="E7" s="4">
        <v>2275.2000000000003</v>
      </c>
      <c r="F7" s="4">
        <v>2400</v>
      </c>
      <c r="G7" s="2">
        <v>100</v>
      </c>
      <c r="H7" s="2" t="s">
        <v>17</v>
      </c>
      <c r="I7" s="5">
        <v>0.96</v>
      </c>
      <c r="J7" s="5">
        <v>0.39500000000000002</v>
      </c>
      <c r="K7" s="5">
        <v>0.85799999999999998</v>
      </c>
      <c r="L7" s="5">
        <v>0.89</v>
      </c>
      <c r="M7" s="5">
        <v>0.95</v>
      </c>
      <c r="N7" s="5">
        <v>0.86</v>
      </c>
      <c r="O7" s="5">
        <v>0.79</v>
      </c>
      <c r="P7" s="5">
        <v>0.8</v>
      </c>
      <c r="Q7" s="2" t="e" cm="1">
        <f t="array" ref="Q7">discount(C7)</f>
        <v>#VALUE!</v>
      </c>
    </row>
    <row r="8" spans="1:21" x14ac:dyDescent="0.3">
      <c r="A8" s="3">
        <v>44927</v>
      </c>
      <c r="B8" s="2" t="s">
        <v>22</v>
      </c>
      <c r="C8" s="4">
        <v>2500</v>
      </c>
      <c r="D8" s="4">
        <v>1975</v>
      </c>
      <c r="E8" s="4">
        <v>780.125</v>
      </c>
      <c r="F8" s="4">
        <v>1000</v>
      </c>
      <c r="G8" s="2">
        <v>15</v>
      </c>
      <c r="H8" s="2" t="s">
        <v>17</v>
      </c>
      <c r="I8" s="5">
        <v>0.79</v>
      </c>
      <c r="J8" s="5">
        <v>0.39500000000000002</v>
      </c>
      <c r="K8" s="5">
        <v>0.72399999999999998</v>
      </c>
      <c r="L8" s="5">
        <v>0.79</v>
      </c>
      <c r="M8" s="5">
        <v>0.64</v>
      </c>
      <c r="N8" s="5">
        <v>0.67</v>
      </c>
      <c r="O8" s="5">
        <v>0.7</v>
      </c>
      <c r="P8" s="5">
        <v>0.82</v>
      </c>
      <c r="Q8" s="2" t="e" cm="1">
        <f t="array" ref="Q8">discount(C8)</f>
        <v>#VALUE!</v>
      </c>
    </row>
    <row r="9" spans="1:21" x14ac:dyDescent="0.3">
      <c r="A9" s="3">
        <v>44927</v>
      </c>
      <c r="B9" s="2" t="s">
        <v>23</v>
      </c>
      <c r="C9" s="4">
        <v>10000</v>
      </c>
      <c r="D9" s="4">
        <v>7500</v>
      </c>
      <c r="E9" s="4">
        <v>2700</v>
      </c>
      <c r="F9" s="4">
        <v>4000</v>
      </c>
      <c r="G9" s="2">
        <v>20</v>
      </c>
      <c r="H9" s="2" t="s">
        <v>17</v>
      </c>
      <c r="I9" s="5">
        <v>0.75</v>
      </c>
      <c r="J9" s="5">
        <v>0.36</v>
      </c>
      <c r="K9" s="5">
        <v>0.74199999999999999</v>
      </c>
      <c r="L9" s="5">
        <v>0.91</v>
      </c>
      <c r="M9" s="5">
        <v>0.7</v>
      </c>
      <c r="N9" s="5">
        <v>0.72</v>
      </c>
      <c r="O9" s="5">
        <v>0.64</v>
      </c>
      <c r="P9" s="5">
        <v>0.74</v>
      </c>
      <c r="Q9" s="2" t="e" cm="1">
        <f t="array" ref="Q9">discount(C9)</f>
        <v>#VALUE!</v>
      </c>
    </row>
    <row r="10" spans="1:21" x14ac:dyDescent="0.3">
      <c r="A10" s="3">
        <v>44958</v>
      </c>
      <c r="B10" s="2" t="s">
        <v>16</v>
      </c>
      <c r="C10" s="4">
        <v>5000</v>
      </c>
      <c r="D10" s="4">
        <v>4600</v>
      </c>
      <c r="E10" s="4">
        <v>2277</v>
      </c>
      <c r="F10" s="4">
        <v>2000</v>
      </c>
      <c r="G10" s="2">
        <v>90</v>
      </c>
      <c r="H10" s="2" t="s">
        <v>17</v>
      </c>
      <c r="I10" s="5">
        <v>0.92</v>
      </c>
      <c r="J10" s="5">
        <v>0.495</v>
      </c>
      <c r="K10" s="5">
        <v>0.69199999999999995</v>
      </c>
      <c r="L10" s="5">
        <v>0.8</v>
      </c>
      <c r="M10" s="5">
        <v>0.48</v>
      </c>
      <c r="N10" s="5">
        <v>0.9</v>
      </c>
      <c r="O10" s="5">
        <v>0.56999999999999995</v>
      </c>
      <c r="P10" s="5">
        <v>0.71</v>
      </c>
      <c r="Q10" s="2" t="e" cm="1">
        <f t="array" ref="Q10">discount(C10)</f>
        <v>#VALUE!</v>
      </c>
    </row>
    <row r="11" spans="1:21" x14ac:dyDescent="0.3">
      <c r="A11" s="3">
        <v>44958</v>
      </c>
      <c r="B11" s="2" t="s">
        <v>18</v>
      </c>
      <c r="C11" s="4">
        <v>15000</v>
      </c>
      <c r="D11" s="4">
        <v>10500</v>
      </c>
      <c r="E11" s="4">
        <v>5197.5</v>
      </c>
      <c r="F11" s="4">
        <v>6000</v>
      </c>
      <c r="G11" s="2">
        <v>30</v>
      </c>
      <c r="H11" s="2" t="s">
        <v>17</v>
      </c>
      <c r="I11" s="5">
        <v>0.7</v>
      </c>
      <c r="J11" s="5">
        <v>0.495</v>
      </c>
      <c r="K11" s="5">
        <v>0.79799999999999993</v>
      </c>
      <c r="L11" s="5">
        <v>0.56999999999999995</v>
      </c>
      <c r="M11" s="5">
        <v>0.76</v>
      </c>
      <c r="N11" s="5">
        <v>0.86</v>
      </c>
      <c r="O11" s="5">
        <v>0.95</v>
      </c>
      <c r="P11" s="5">
        <v>0.85</v>
      </c>
      <c r="Q11" s="2" t="e" cm="1">
        <f t="array" ref="Q11">discount(C11)</f>
        <v>#VALUE!</v>
      </c>
    </row>
    <row r="12" spans="1:21" x14ac:dyDescent="0.3">
      <c r="A12" s="3">
        <v>44958</v>
      </c>
      <c r="B12" s="2" t="s">
        <v>19</v>
      </c>
      <c r="C12" s="4">
        <v>1500</v>
      </c>
      <c r="D12" s="4">
        <v>1365</v>
      </c>
      <c r="E12" s="4">
        <v>668.85</v>
      </c>
      <c r="F12" s="4">
        <v>600</v>
      </c>
      <c r="G12" s="2">
        <v>15</v>
      </c>
      <c r="H12" s="2" t="s">
        <v>17</v>
      </c>
      <c r="I12" s="5">
        <v>0.91</v>
      </c>
      <c r="J12" s="5">
        <v>0.49</v>
      </c>
      <c r="K12" s="5">
        <v>0.77600000000000002</v>
      </c>
      <c r="L12" s="5">
        <v>0.97</v>
      </c>
      <c r="M12" s="5">
        <v>0.71</v>
      </c>
      <c r="N12" s="5">
        <v>0.74</v>
      </c>
      <c r="O12" s="5">
        <v>0.74</v>
      </c>
      <c r="P12" s="5">
        <v>0.72</v>
      </c>
      <c r="Q12" s="2" t="e" cm="1">
        <f t="array" ref="Q12">discount(C12)</f>
        <v>#VALUE!</v>
      </c>
    </row>
    <row r="13" spans="1:21" x14ac:dyDescent="0.3">
      <c r="A13" s="3">
        <v>44958</v>
      </c>
      <c r="B13" s="2" t="s">
        <v>20</v>
      </c>
      <c r="C13" s="4">
        <v>3500</v>
      </c>
      <c r="D13" s="4">
        <v>2590</v>
      </c>
      <c r="E13" s="4">
        <v>1100.75</v>
      </c>
      <c r="F13" s="4">
        <v>1400</v>
      </c>
      <c r="G13" s="2">
        <v>40</v>
      </c>
      <c r="H13" s="2" t="s">
        <v>17</v>
      </c>
      <c r="I13" s="5">
        <v>0.74</v>
      </c>
      <c r="J13" s="5">
        <v>0.42499999999999999</v>
      </c>
      <c r="K13" s="5">
        <v>0.66400000000000003</v>
      </c>
      <c r="L13" s="5">
        <v>0.61</v>
      </c>
      <c r="M13" s="5">
        <v>0.78</v>
      </c>
      <c r="N13" s="5">
        <v>0.69</v>
      </c>
      <c r="O13" s="5">
        <v>0.43</v>
      </c>
      <c r="P13" s="5">
        <v>0.81</v>
      </c>
      <c r="Q13" s="2" t="e" cm="1">
        <f t="array" ref="Q13">discount(C13)</f>
        <v>#VALUE!</v>
      </c>
    </row>
    <row r="14" spans="1:21" x14ac:dyDescent="0.3">
      <c r="A14" s="3">
        <v>44958</v>
      </c>
      <c r="B14" s="2" t="s">
        <v>21</v>
      </c>
      <c r="C14" s="4">
        <v>6000</v>
      </c>
      <c r="D14" s="4">
        <v>5400</v>
      </c>
      <c r="E14" s="4">
        <v>2430</v>
      </c>
      <c r="F14" s="4">
        <v>2400</v>
      </c>
      <c r="G14" s="2">
        <v>100</v>
      </c>
      <c r="H14" s="2" t="s">
        <v>17</v>
      </c>
      <c r="I14" s="5">
        <v>0.9</v>
      </c>
      <c r="J14" s="5">
        <v>0.45</v>
      </c>
      <c r="K14" s="5">
        <v>0.70600000000000007</v>
      </c>
      <c r="L14" s="5">
        <v>0.65</v>
      </c>
      <c r="M14" s="5">
        <v>0.88</v>
      </c>
      <c r="N14" s="5">
        <v>0.76</v>
      </c>
      <c r="O14" s="5">
        <v>0.46</v>
      </c>
      <c r="P14" s="5">
        <v>0.78</v>
      </c>
      <c r="Q14" s="2" t="e" cm="1">
        <f t="array" ref="Q14">discount(C14)</f>
        <v>#VALUE!</v>
      </c>
    </row>
    <row r="15" spans="1:21" x14ac:dyDescent="0.3">
      <c r="A15" s="3">
        <v>44958</v>
      </c>
      <c r="B15" s="2" t="s">
        <v>22</v>
      </c>
      <c r="C15" s="4">
        <v>4000</v>
      </c>
      <c r="D15" s="4">
        <v>3800</v>
      </c>
      <c r="E15" s="4">
        <v>1843</v>
      </c>
      <c r="F15" s="4">
        <v>1600</v>
      </c>
      <c r="G15" s="2">
        <v>15</v>
      </c>
      <c r="H15" s="2" t="s">
        <v>17</v>
      </c>
      <c r="I15" s="5">
        <v>0.95</v>
      </c>
      <c r="J15" s="5">
        <v>0.48499999999999999</v>
      </c>
      <c r="K15" s="5">
        <v>0.75800000000000001</v>
      </c>
      <c r="L15" s="5">
        <v>0.79</v>
      </c>
      <c r="M15" s="5">
        <v>0.77</v>
      </c>
      <c r="N15" s="5">
        <v>0.64</v>
      </c>
      <c r="O15" s="5">
        <v>0.85</v>
      </c>
      <c r="P15" s="5">
        <v>0.74</v>
      </c>
      <c r="Q15" s="2" t="e" cm="1">
        <f t="array" ref="Q15">discount(C15)</f>
        <v>#VALUE!</v>
      </c>
    </row>
    <row r="16" spans="1:21" x14ac:dyDescent="0.3">
      <c r="A16" s="3">
        <v>44958</v>
      </c>
      <c r="B16" s="2" t="s">
        <v>23</v>
      </c>
      <c r="C16" s="4">
        <v>10000</v>
      </c>
      <c r="D16" s="4">
        <v>9900</v>
      </c>
      <c r="E16" s="4">
        <v>3910.5</v>
      </c>
      <c r="F16" s="4">
        <v>4000</v>
      </c>
      <c r="G16" s="2">
        <v>20</v>
      </c>
      <c r="H16" s="2" t="s">
        <v>17</v>
      </c>
      <c r="I16" s="5">
        <v>0.99</v>
      </c>
      <c r="J16" s="5">
        <v>0.39500000000000002</v>
      </c>
      <c r="K16" s="5">
        <v>0.67199999999999993</v>
      </c>
      <c r="L16" s="5">
        <v>0.81</v>
      </c>
      <c r="M16" s="5">
        <v>0.53</v>
      </c>
      <c r="N16" s="5">
        <v>0.85</v>
      </c>
      <c r="O16" s="5">
        <v>0.42</v>
      </c>
      <c r="P16" s="5">
        <v>0.75</v>
      </c>
      <c r="Q16" s="2" t="e" cm="1">
        <f t="array" ref="Q16">discount(C16)</f>
        <v>#VALUE!</v>
      </c>
    </row>
    <row r="17" spans="1:17" x14ac:dyDescent="0.3">
      <c r="A17" s="3">
        <v>44986</v>
      </c>
      <c r="B17" s="2" t="s">
        <v>16</v>
      </c>
      <c r="C17" s="4">
        <v>8572</v>
      </c>
      <c r="D17" s="4">
        <v>7371.92</v>
      </c>
      <c r="E17" s="4">
        <v>3575.3811999999998</v>
      </c>
      <c r="F17" s="4">
        <v>3428.8</v>
      </c>
      <c r="G17" s="2">
        <v>45</v>
      </c>
      <c r="H17" s="2" t="s">
        <v>17</v>
      </c>
      <c r="I17" s="5">
        <v>0.86</v>
      </c>
      <c r="J17" s="5">
        <v>0.48499999999999999</v>
      </c>
      <c r="K17" s="5">
        <v>0.78400000000000003</v>
      </c>
      <c r="L17" s="5">
        <v>0.8</v>
      </c>
      <c r="M17" s="5">
        <v>0.8</v>
      </c>
      <c r="N17" s="5">
        <v>0.61</v>
      </c>
      <c r="O17" s="5">
        <v>0.91</v>
      </c>
      <c r="P17" s="5">
        <v>0.8</v>
      </c>
      <c r="Q17" s="2" t="e" cm="1">
        <f t="array" ref="Q17">discount(C17)</f>
        <v>#VALUE!</v>
      </c>
    </row>
    <row r="18" spans="1:17" x14ac:dyDescent="0.3">
      <c r="A18" s="3">
        <v>44986</v>
      </c>
      <c r="B18" s="2" t="s">
        <v>18</v>
      </c>
      <c r="C18" s="4">
        <v>8572</v>
      </c>
      <c r="D18" s="4">
        <v>7114.7599999999993</v>
      </c>
      <c r="E18" s="4">
        <v>2561.3135999999995</v>
      </c>
      <c r="F18" s="4">
        <v>3428.8</v>
      </c>
      <c r="G18" s="2">
        <v>43</v>
      </c>
      <c r="H18" s="2" t="s">
        <v>17</v>
      </c>
      <c r="I18" s="5">
        <v>0.83</v>
      </c>
      <c r="J18" s="5">
        <v>0.36</v>
      </c>
      <c r="K18" s="5">
        <v>0.67</v>
      </c>
      <c r="L18" s="5">
        <v>0.67</v>
      </c>
      <c r="M18" s="5">
        <v>0.6</v>
      </c>
      <c r="N18" s="5">
        <v>0.86</v>
      </c>
      <c r="O18" s="5">
        <v>0.39</v>
      </c>
      <c r="P18" s="5">
        <v>0.83</v>
      </c>
      <c r="Q18" s="2" t="e" cm="1">
        <f t="array" ref="Q18">discount(C18)</f>
        <v>#VALUE!</v>
      </c>
    </row>
    <row r="19" spans="1:17" x14ac:dyDescent="0.3">
      <c r="A19" s="3">
        <v>44986</v>
      </c>
      <c r="B19" s="2" t="s">
        <v>19</v>
      </c>
      <c r="C19" s="4">
        <v>8572</v>
      </c>
      <c r="D19" s="4">
        <v>6343.28</v>
      </c>
      <c r="E19" s="4">
        <v>2473.8791999999999</v>
      </c>
      <c r="F19" s="4">
        <v>3428.8</v>
      </c>
      <c r="G19" s="2">
        <v>43</v>
      </c>
      <c r="H19" s="2" t="s">
        <v>17</v>
      </c>
      <c r="I19" s="5">
        <v>0.74</v>
      </c>
      <c r="J19" s="5">
        <v>0.39</v>
      </c>
      <c r="K19" s="5">
        <v>0.68600000000000005</v>
      </c>
      <c r="L19" s="5">
        <v>0.75</v>
      </c>
      <c r="M19" s="5">
        <v>0.76</v>
      </c>
      <c r="N19" s="5">
        <v>0.76</v>
      </c>
      <c r="O19" s="5">
        <v>0.45</v>
      </c>
      <c r="P19" s="5">
        <v>0.71</v>
      </c>
      <c r="Q19" s="2" t="e" cm="1">
        <f t="array" ref="Q19">discount(C19)</f>
        <v>#VALUE!</v>
      </c>
    </row>
    <row r="20" spans="1:17" x14ac:dyDescent="0.3">
      <c r="A20" s="3">
        <v>44986</v>
      </c>
      <c r="B20" s="2" t="s">
        <v>20</v>
      </c>
      <c r="C20" s="4">
        <v>8572</v>
      </c>
      <c r="D20" s="4">
        <v>6857.6</v>
      </c>
      <c r="E20" s="4">
        <v>2880.192</v>
      </c>
      <c r="F20" s="4">
        <v>3428.8</v>
      </c>
      <c r="G20" s="2">
        <v>43</v>
      </c>
      <c r="H20" s="2" t="s">
        <v>17</v>
      </c>
      <c r="I20" s="5">
        <v>0.8</v>
      </c>
      <c r="J20" s="5">
        <v>0.42</v>
      </c>
      <c r="K20" s="5">
        <v>0.73000000000000009</v>
      </c>
      <c r="L20" s="5">
        <v>0.95</v>
      </c>
      <c r="M20" s="5">
        <v>0.52</v>
      </c>
      <c r="N20" s="5">
        <v>0.61</v>
      </c>
      <c r="O20" s="5">
        <v>0.85</v>
      </c>
      <c r="P20" s="5">
        <v>0.72</v>
      </c>
      <c r="Q20" s="2" t="e" cm="1">
        <f t="array" ref="Q20">discount(C20)</f>
        <v>#VALUE!</v>
      </c>
    </row>
    <row r="21" spans="1:17" x14ac:dyDescent="0.3">
      <c r="A21" s="3">
        <v>44986</v>
      </c>
      <c r="B21" s="2" t="s">
        <v>21</v>
      </c>
      <c r="C21" s="4">
        <v>8572</v>
      </c>
      <c r="D21" s="4">
        <v>7629.08</v>
      </c>
      <c r="E21" s="4">
        <v>3776.3946000000001</v>
      </c>
      <c r="F21" s="4">
        <v>3428.8</v>
      </c>
      <c r="G21" s="2">
        <v>43</v>
      </c>
      <c r="H21" s="2" t="s">
        <v>17</v>
      </c>
      <c r="I21" s="5">
        <v>0.89</v>
      </c>
      <c r="J21" s="5">
        <v>0.495</v>
      </c>
      <c r="K21" s="5">
        <v>0.65</v>
      </c>
      <c r="L21" s="5">
        <v>0.63</v>
      </c>
      <c r="M21" s="5">
        <v>0.79</v>
      </c>
      <c r="N21" s="5">
        <v>0.67</v>
      </c>
      <c r="O21" s="5">
        <v>0.42</v>
      </c>
      <c r="P21" s="5">
        <v>0.74</v>
      </c>
      <c r="Q21" s="2" t="e" cm="1">
        <f t="array" ref="Q21">discount(C21)</f>
        <v>#VALUE!</v>
      </c>
    </row>
    <row r="22" spans="1:17" x14ac:dyDescent="0.3">
      <c r="A22" s="3">
        <v>44986</v>
      </c>
      <c r="B22" s="2" t="s">
        <v>22</v>
      </c>
      <c r="C22" s="4">
        <v>8572</v>
      </c>
      <c r="D22" s="4">
        <v>6086.12</v>
      </c>
      <c r="E22" s="4">
        <v>2647.4621999999999</v>
      </c>
      <c r="F22" s="4">
        <v>3428.8</v>
      </c>
      <c r="G22" s="2">
        <v>40</v>
      </c>
      <c r="H22" s="2" t="s">
        <v>17</v>
      </c>
      <c r="I22" s="5">
        <v>0.71</v>
      </c>
      <c r="J22" s="5">
        <v>0.435</v>
      </c>
      <c r="K22" s="5">
        <v>0.68799999999999994</v>
      </c>
      <c r="L22" s="5">
        <v>0.76</v>
      </c>
      <c r="M22" s="5">
        <v>0.57999999999999996</v>
      </c>
      <c r="N22" s="5">
        <v>0.85</v>
      </c>
      <c r="O22" s="5">
        <v>0.4</v>
      </c>
      <c r="P22" s="5">
        <v>0.85</v>
      </c>
      <c r="Q22" s="2" t="e" cm="1">
        <f t="array" ref="Q22">discount(C22)</f>
        <v>#VALUE!</v>
      </c>
    </row>
    <row r="23" spans="1:17" x14ac:dyDescent="0.3">
      <c r="A23" s="3">
        <v>44986</v>
      </c>
      <c r="B23" s="2" t="s">
        <v>23</v>
      </c>
      <c r="C23" s="4">
        <v>8572</v>
      </c>
      <c r="D23" s="4">
        <v>7714.8</v>
      </c>
      <c r="E23" s="4">
        <v>2777.328</v>
      </c>
      <c r="F23" s="4">
        <v>3428.8</v>
      </c>
      <c r="G23" s="2">
        <v>43</v>
      </c>
      <c r="H23" s="2" t="s">
        <v>17</v>
      </c>
      <c r="I23" s="5">
        <v>0.9</v>
      </c>
      <c r="J23" s="5">
        <v>0.36</v>
      </c>
      <c r="K23" s="5">
        <v>0.69000000000000006</v>
      </c>
      <c r="L23" s="5">
        <v>0.43</v>
      </c>
      <c r="M23" s="5">
        <v>0.88</v>
      </c>
      <c r="N23" s="5">
        <v>0.82</v>
      </c>
      <c r="O23" s="5">
        <v>0.57999999999999996</v>
      </c>
      <c r="P23" s="5">
        <v>0.74</v>
      </c>
      <c r="Q23" s="2" t="e" cm="1">
        <f t="array" ref="Q23">discount(C23)</f>
        <v>#VALUE!</v>
      </c>
    </row>
    <row r="24" spans="1:17" x14ac:dyDescent="0.3">
      <c r="A24" s="3">
        <v>45017</v>
      </c>
      <c r="B24" s="2" t="s">
        <v>16</v>
      </c>
      <c r="C24" s="4">
        <v>7858</v>
      </c>
      <c r="D24" s="4">
        <v>6993.62</v>
      </c>
      <c r="E24" s="4">
        <v>2972.2884999999997</v>
      </c>
      <c r="F24" s="4">
        <v>3143.2000000000003</v>
      </c>
      <c r="G24" s="2">
        <v>100</v>
      </c>
      <c r="H24" s="2" t="s">
        <v>24</v>
      </c>
      <c r="I24" s="5">
        <v>0.89</v>
      </c>
      <c r="J24" s="5">
        <v>0.42499999999999999</v>
      </c>
      <c r="K24" s="5">
        <v>0.68800000000000006</v>
      </c>
      <c r="L24" s="5">
        <v>0.59</v>
      </c>
      <c r="M24" s="5">
        <v>0.7</v>
      </c>
      <c r="N24" s="5">
        <v>0.61</v>
      </c>
      <c r="O24" s="5">
        <v>0.76</v>
      </c>
      <c r="P24" s="5">
        <v>0.78</v>
      </c>
      <c r="Q24" s="2" t="e" cm="1">
        <f t="array" ref="Q24">discount(C24)</f>
        <v>#VALUE!</v>
      </c>
    </row>
    <row r="25" spans="1:17" x14ac:dyDescent="0.3">
      <c r="A25" s="3">
        <v>45017</v>
      </c>
      <c r="B25" s="2" t="s">
        <v>18</v>
      </c>
      <c r="C25" s="4">
        <v>7858</v>
      </c>
      <c r="D25" s="4">
        <v>6993.62</v>
      </c>
      <c r="E25" s="4">
        <v>2797.4480000000003</v>
      </c>
      <c r="F25" s="4">
        <v>3143.2000000000003</v>
      </c>
      <c r="G25" s="2">
        <v>100</v>
      </c>
      <c r="H25" s="2" t="s">
        <v>24</v>
      </c>
      <c r="I25" s="5">
        <v>0.89</v>
      </c>
      <c r="J25" s="5">
        <v>0.4</v>
      </c>
      <c r="K25" s="5">
        <v>0.70399999999999996</v>
      </c>
      <c r="L25" s="5">
        <v>0.77</v>
      </c>
      <c r="M25" s="5">
        <v>0.93</v>
      </c>
      <c r="N25" s="5">
        <v>0.73</v>
      </c>
      <c r="O25" s="5">
        <v>0.36</v>
      </c>
      <c r="P25" s="5">
        <v>0.73</v>
      </c>
      <c r="Q25" s="2" t="e" cm="1">
        <f t="array" ref="Q25">discount(C25)</f>
        <v>#VALUE!</v>
      </c>
    </row>
    <row r="26" spans="1:17" x14ac:dyDescent="0.3">
      <c r="A26" s="3">
        <v>45017</v>
      </c>
      <c r="B26" s="2" t="s">
        <v>19</v>
      </c>
      <c r="C26" s="4">
        <v>7858</v>
      </c>
      <c r="D26" s="4">
        <v>7700.84</v>
      </c>
      <c r="E26" s="4">
        <v>3811.9158000000002</v>
      </c>
      <c r="F26" s="4">
        <v>3143.2000000000003</v>
      </c>
      <c r="G26" s="2">
        <v>100</v>
      </c>
      <c r="H26" s="2" t="s">
        <v>24</v>
      </c>
      <c r="I26" s="5">
        <v>0.98</v>
      </c>
      <c r="J26" s="5">
        <v>0.495</v>
      </c>
      <c r="K26" s="5">
        <v>0.74399999999999999</v>
      </c>
      <c r="L26" s="5">
        <v>0.59</v>
      </c>
      <c r="M26" s="5">
        <v>0.87</v>
      </c>
      <c r="N26" s="5">
        <v>0.61</v>
      </c>
      <c r="O26" s="5">
        <v>0.91</v>
      </c>
      <c r="P26" s="5">
        <v>0.74</v>
      </c>
      <c r="Q26" s="2" t="e" cm="1">
        <f t="array" ref="Q26">discount(C26)</f>
        <v>#VALUE!</v>
      </c>
    </row>
    <row r="27" spans="1:17" x14ac:dyDescent="0.3">
      <c r="A27" s="3">
        <v>45017</v>
      </c>
      <c r="B27" s="2" t="s">
        <v>20</v>
      </c>
      <c r="C27" s="4">
        <v>7858</v>
      </c>
      <c r="D27" s="4">
        <v>6364.9800000000005</v>
      </c>
      <c r="E27" s="4">
        <v>2896.0659000000005</v>
      </c>
      <c r="F27" s="4">
        <v>3143.2000000000003</v>
      </c>
      <c r="G27" s="2">
        <v>100</v>
      </c>
      <c r="H27" s="2" t="s">
        <v>24</v>
      </c>
      <c r="I27" s="5">
        <v>0.81</v>
      </c>
      <c r="J27" s="5">
        <v>0.45500000000000002</v>
      </c>
      <c r="K27" s="5">
        <v>0.75</v>
      </c>
      <c r="L27" s="5">
        <v>0.9</v>
      </c>
      <c r="M27" s="5">
        <v>0.57999999999999996</v>
      </c>
      <c r="N27" s="5">
        <v>0.79</v>
      </c>
      <c r="O27" s="5">
        <v>0.68</v>
      </c>
      <c r="P27" s="5">
        <v>0.8</v>
      </c>
      <c r="Q27" s="2" t="e" cm="1">
        <f t="array" ref="Q27">discount(C27)</f>
        <v>#VALUE!</v>
      </c>
    </row>
    <row r="28" spans="1:17" x14ac:dyDescent="0.3">
      <c r="A28" s="3">
        <v>45017</v>
      </c>
      <c r="B28" s="2" t="s">
        <v>21</v>
      </c>
      <c r="C28" s="4">
        <v>7858</v>
      </c>
      <c r="D28" s="4">
        <v>7622.26</v>
      </c>
      <c r="E28" s="4">
        <v>3239.4605000000001</v>
      </c>
      <c r="F28" s="4">
        <v>3143.2000000000003</v>
      </c>
      <c r="G28" s="2">
        <v>100</v>
      </c>
      <c r="H28" s="2" t="s">
        <v>24</v>
      </c>
      <c r="I28" s="5">
        <v>0.97</v>
      </c>
      <c r="J28" s="5">
        <v>0.42499999999999999</v>
      </c>
      <c r="K28" s="5">
        <v>0.67199999999999993</v>
      </c>
      <c r="L28" s="5">
        <v>0.51</v>
      </c>
      <c r="M28" s="5">
        <v>0.76</v>
      </c>
      <c r="N28" s="5">
        <v>0.71</v>
      </c>
      <c r="O28" s="5">
        <v>0.65</v>
      </c>
      <c r="P28" s="5">
        <v>0.73</v>
      </c>
      <c r="Q28" s="2" t="e" cm="1">
        <f t="array" ref="Q28">discount(C28)</f>
        <v>#VALUE!</v>
      </c>
    </row>
    <row r="29" spans="1:17" x14ac:dyDescent="0.3">
      <c r="A29" s="3">
        <v>45017</v>
      </c>
      <c r="B29" s="2" t="s">
        <v>22</v>
      </c>
      <c r="C29" s="4">
        <v>7858</v>
      </c>
      <c r="D29" s="4">
        <v>6993.62</v>
      </c>
      <c r="E29" s="4">
        <v>3287.0013999999996</v>
      </c>
      <c r="F29" s="4">
        <v>3143.2000000000003</v>
      </c>
      <c r="G29" s="2">
        <v>100</v>
      </c>
      <c r="H29" s="2" t="s">
        <v>24</v>
      </c>
      <c r="I29" s="5">
        <v>0.89</v>
      </c>
      <c r="J29" s="5">
        <v>0.47</v>
      </c>
      <c r="K29" s="5">
        <v>0.71799999999999997</v>
      </c>
      <c r="L29" s="5">
        <v>0.68</v>
      </c>
      <c r="M29" s="5">
        <v>0.57999999999999996</v>
      </c>
      <c r="N29" s="5">
        <v>0.77</v>
      </c>
      <c r="O29" s="5">
        <v>0.8</v>
      </c>
      <c r="P29" s="5">
        <v>0.76</v>
      </c>
      <c r="Q29" s="2" t="e" cm="1">
        <f t="array" ref="Q29">discount(C29)</f>
        <v>#VALUE!</v>
      </c>
    </row>
    <row r="30" spans="1:17" x14ac:dyDescent="0.3">
      <c r="A30" s="3">
        <v>45017</v>
      </c>
      <c r="B30" s="2" t="s">
        <v>23</v>
      </c>
      <c r="C30" s="4">
        <v>7858</v>
      </c>
      <c r="D30" s="4">
        <v>6915.04</v>
      </c>
      <c r="E30" s="4">
        <v>3250.0688</v>
      </c>
      <c r="F30" s="4">
        <v>3143.2000000000003</v>
      </c>
      <c r="G30" s="2">
        <v>100</v>
      </c>
      <c r="H30" s="2" t="s">
        <v>24</v>
      </c>
      <c r="I30" s="5">
        <v>0.88</v>
      </c>
      <c r="J30" s="5">
        <v>0.47</v>
      </c>
      <c r="K30" s="5">
        <v>0.77799999999999991</v>
      </c>
      <c r="L30" s="5">
        <v>0.88</v>
      </c>
      <c r="M30" s="5">
        <v>0.59</v>
      </c>
      <c r="N30" s="5">
        <v>0.87</v>
      </c>
      <c r="O30" s="5">
        <v>0.79</v>
      </c>
      <c r="P30" s="5">
        <v>0.76</v>
      </c>
      <c r="Q30" s="2" t="e" cm="1">
        <f t="array" ref="Q30">discount(C30)</f>
        <v>#VALUE!</v>
      </c>
    </row>
    <row r="31" spans="1:17" x14ac:dyDescent="0.3">
      <c r="A31" s="3">
        <v>45047</v>
      </c>
      <c r="B31" s="2" t="s">
        <v>16</v>
      </c>
      <c r="C31" s="4">
        <v>11429</v>
      </c>
      <c r="D31" s="4">
        <v>8571.75</v>
      </c>
      <c r="E31" s="4">
        <v>3300.1237500000002</v>
      </c>
      <c r="F31" s="4">
        <v>4571.6000000000004</v>
      </c>
      <c r="G31" s="2">
        <v>90</v>
      </c>
      <c r="H31" s="2" t="s">
        <v>24</v>
      </c>
      <c r="I31" s="5">
        <v>0.75</v>
      </c>
      <c r="J31" s="5">
        <v>0.38500000000000001</v>
      </c>
      <c r="K31" s="5">
        <v>0.67800000000000016</v>
      </c>
      <c r="L31" s="5">
        <v>0.54</v>
      </c>
      <c r="M31" s="5">
        <v>0.68</v>
      </c>
      <c r="N31" s="5">
        <v>0.79</v>
      </c>
      <c r="O31" s="5">
        <v>0.62</v>
      </c>
      <c r="P31" s="5">
        <v>0.76</v>
      </c>
      <c r="Q31" s="2" t="e" cm="1">
        <f t="array" ref="Q31">discount(C31)</f>
        <v>#VALUE!</v>
      </c>
    </row>
    <row r="32" spans="1:17" x14ac:dyDescent="0.3">
      <c r="A32" s="3">
        <v>45047</v>
      </c>
      <c r="B32" s="2" t="s">
        <v>18</v>
      </c>
      <c r="C32" s="4">
        <v>11429</v>
      </c>
      <c r="D32" s="4">
        <v>8343.17</v>
      </c>
      <c r="E32" s="4">
        <v>4004.7215999999999</v>
      </c>
      <c r="F32" s="4">
        <v>4571.6000000000004</v>
      </c>
      <c r="G32" s="2">
        <v>80</v>
      </c>
      <c r="H32" s="2" t="s">
        <v>24</v>
      </c>
      <c r="I32" s="5">
        <v>0.73</v>
      </c>
      <c r="J32" s="5">
        <v>0.48</v>
      </c>
      <c r="K32" s="5">
        <v>0.83800000000000008</v>
      </c>
      <c r="L32" s="5">
        <v>0.88</v>
      </c>
      <c r="M32" s="5">
        <v>0.8</v>
      </c>
      <c r="N32" s="5">
        <v>0.81</v>
      </c>
      <c r="O32" s="5">
        <v>0.9</v>
      </c>
      <c r="P32" s="5">
        <v>0.8</v>
      </c>
      <c r="Q32" s="2" t="e" cm="1">
        <f t="array" ref="Q32">discount(C32)</f>
        <v>#VALUE!</v>
      </c>
    </row>
    <row r="33" spans="1:17" x14ac:dyDescent="0.3">
      <c r="A33" s="3">
        <v>45047</v>
      </c>
      <c r="B33" s="2" t="s">
        <v>19</v>
      </c>
      <c r="C33" s="4">
        <v>11429</v>
      </c>
      <c r="D33" s="4">
        <v>10628.970000000001</v>
      </c>
      <c r="E33" s="4">
        <v>3932.7189000000003</v>
      </c>
      <c r="F33" s="4">
        <v>4571.6000000000004</v>
      </c>
      <c r="G33" s="2">
        <v>90</v>
      </c>
      <c r="H33" s="2" t="s">
        <v>24</v>
      </c>
      <c r="I33" s="5">
        <v>0.93</v>
      </c>
      <c r="J33" s="5">
        <v>0.37</v>
      </c>
      <c r="K33" s="5">
        <v>0.78600000000000003</v>
      </c>
      <c r="L33" s="5">
        <v>0.92</v>
      </c>
      <c r="M33" s="5">
        <v>0.5</v>
      </c>
      <c r="N33" s="5">
        <v>0.81</v>
      </c>
      <c r="O33" s="5">
        <v>0.87</v>
      </c>
      <c r="P33" s="5">
        <v>0.83</v>
      </c>
      <c r="Q33" s="2" t="e" cm="1">
        <f t="array" ref="Q33">discount(C33)</f>
        <v>#VALUE!</v>
      </c>
    </row>
    <row r="34" spans="1:17" x14ac:dyDescent="0.3">
      <c r="A34" s="3">
        <v>45047</v>
      </c>
      <c r="B34" s="2" t="s">
        <v>20</v>
      </c>
      <c r="C34" s="4">
        <v>11429</v>
      </c>
      <c r="D34" s="4">
        <v>9714.65</v>
      </c>
      <c r="E34" s="4">
        <v>3400.1274999999996</v>
      </c>
      <c r="F34" s="4">
        <v>4571.6000000000004</v>
      </c>
      <c r="G34" s="2">
        <v>110</v>
      </c>
      <c r="H34" s="2" t="s">
        <v>24</v>
      </c>
      <c r="I34" s="5">
        <v>0.85</v>
      </c>
      <c r="J34" s="5">
        <v>0.35</v>
      </c>
      <c r="K34" s="5">
        <v>0.72399999999999998</v>
      </c>
      <c r="L34" s="5">
        <v>0.89</v>
      </c>
      <c r="M34" s="5">
        <v>0.87</v>
      </c>
      <c r="N34" s="5">
        <v>0.6</v>
      </c>
      <c r="O34" s="5">
        <v>0.49</v>
      </c>
      <c r="P34" s="5">
        <v>0.77</v>
      </c>
      <c r="Q34" s="2" t="e" cm="1">
        <f t="array" ref="Q34">discount(C34)</f>
        <v>#VALUE!</v>
      </c>
    </row>
    <row r="35" spans="1:17" x14ac:dyDescent="0.3">
      <c r="A35" s="3">
        <v>45047</v>
      </c>
      <c r="B35" s="2" t="s">
        <v>21</v>
      </c>
      <c r="C35" s="4">
        <v>11429</v>
      </c>
      <c r="D35" s="4">
        <v>10514.68</v>
      </c>
      <c r="E35" s="4">
        <v>5204.7665999999999</v>
      </c>
      <c r="F35" s="4">
        <v>4571.6000000000004</v>
      </c>
      <c r="G35" s="2">
        <v>90</v>
      </c>
      <c r="H35" s="2" t="s">
        <v>24</v>
      </c>
      <c r="I35" s="5">
        <v>0.92</v>
      </c>
      <c r="J35" s="5">
        <v>0.495</v>
      </c>
      <c r="K35" s="5">
        <v>0.69000000000000006</v>
      </c>
      <c r="L35" s="5">
        <v>0.7</v>
      </c>
      <c r="M35" s="5">
        <v>0.61</v>
      </c>
      <c r="N35" s="5">
        <v>0.66</v>
      </c>
      <c r="O35" s="5">
        <v>0.68</v>
      </c>
      <c r="P35" s="5">
        <v>0.8</v>
      </c>
      <c r="Q35" s="2" t="e" cm="1">
        <f t="array" ref="Q35">discount(C35)</f>
        <v>#VALUE!</v>
      </c>
    </row>
    <row r="36" spans="1:17" x14ac:dyDescent="0.3">
      <c r="A36" s="3">
        <v>45047</v>
      </c>
      <c r="B36" s="2" t="s">
        <v>22</v>
      </c>
      <c r="C36" s="4">
        <v>11429</v>
      </c>
      <c r="D36" s="4">
        <v>8571.75</v>
      </c>
      <c r="E36" s="4">
        <v>4157.2987499999999</v>
      </c>
      <c r="F36" s="4">
        <v>4571.6000000000004</v>
      </c>
      <c r="G36" s="2">
        <v>100</v>
      </c>
      <c r="H36" s="2" t="s">
        <v>24</v>
      </c>
      <c r="I36" s="5">
        <v>0.75</v>
      </c>
      <c r="J36" s="5">
        <v>0.48499999999999999</v>
      </c>
      <c r="K36" s="5">
        <v>0.69199999999999995</v>
      </c>
      <c r="L36" s="5">
        <v>0.63</v>
      </c>
      <c r="M36" s="5">
        <v>0.73</v>
      </c>
      <c r="N36" s="5">
        <v>0.68</v>
      </c>
      <c r="O36" s="5">
        <v>0.57999999999999996</v>
      </c>
      <c r="P36" s="5">
        <v>0.84</v>
      </c>
      <c r="Q36" s="2" t="e" cm="1">
        <f t="array" ref="Q36">discount(C36)</f>
        <v>#VALUE!</v>
      </c>
    </row>
    <row r="37" spans="1:17" x14ac:dyDescent="0.3">
      <c r="A37" s="3">
        <v>45047</v>
      </c>
      <c r="B37" s="2" t="s">
        <v>23</v>
      </c>
      <c r="C37" s="4">
        <v>11429</v>
      </c>
      <c r="D37" s="4">
        <v>8800.33</v>
      </c>
      <c r="E37" s="4">
        <v>4268.1600499999995</v>
      </c>
      <c r="F37" s="4">
        <v>4571.6000000000004</v>
      </c>
      <c r="G37" s="2">
        <v>90</v>
      </c>
      <c r="H37" s="2" t="s">
        <v>24</v>
      </c>
      <c r="I37" s="5">
        <v>0.77</v>
      </c>
      <c r="J37" s="5">
        <v>0.48499999999999999</v>
      </c>
      <c r="K37" s="5">
        <v>0.76800000000000002</v>
      </c>
      <c r="L37" s="5">
        <v>0.56000000000000005</v>
      </c>
      <c r="M37" s="5">
        <v>0.82</v>
      </c>
      <c r="N37" s="5">
        <v>0.89</v>
      </c>
      <c r="O37" s="5">
        <v>0.86</v>
      </c>
      <c r="P37" s="5">
        <v>0.71</v>
      </c>
      <c r="Q37" s="2" t="e" cm="1">
        <f t="array" ref="Q37">discount(C37)</f>
        <v>#VALUE!</v>
      </c>
    </row>
    <row r="38" spans="1:17" x14ac:dyDescent="0.3">
      <c r="A38" s="3">
        <v>45078</v>
      </c>
      <c r="B38" s="2" t="s">
        <v>16</v>
      </c>
      <c r="C38" s="4">
        <v>14286</v>
      </c>
      <c r="D38" s="4">
        <v>11285.94</v>
      </c>
      <c r="E38" s="4">
        <v>4232.2275</v>
      </c>
      <c r="F38" s="4">
        <v>5714.4000000000005</v>
      </c>
      <c r="G38" s="2">
        <v>228</v>
      </c>
      <c r="H38" s="2" t="s">
        <v>24</v>
      </c>
      <c r="I38" s="5">
        <v>0.79</v>
      </c>
      <c r="J38" s="5">
        <v>0.375</v>
      </c>
      <c r="K38" s="5">
        <v>0.68399999999999994</v>
      </c>
      <c r="L38" s="5">
        <v>0.7</v>
      </c>
      <c r="M38" s="5">
        <v>0.75</v>
      </c>
      <c r="N38" s="5">
        <v>0.6</v>
      </c>
      <c r="O38" s="5">
        <v>0.55000000000000004</v>
      </c>
      <c r="P38" s="5">
        <v>0.82</v>
      </c>
      <c r="Q38" s="2" t="e" cm="1">
        <f t="array" ref="Q38">discount(C38)</f>
        <v>#VALUE!</v>
      </c>
    </row>
    <row r="39" spans="1:17" x14ac:dyDescent="0.3">
      <c r="A39" s="3">
        <v>45078</v>
      </c>
      <c r="B39" s="2" t="s">
        <v>18</v>
      </c>
      <c r="C39" s="4">
        <v>14286</v>
      </c>
      <c r="D39" s="4">
        <v>11571.66</v>
      </c>
      <c r="E39" s="4">
        <v>5670.1134000000002</v>
      </c>
      <c r="F39" s="4">
        <v>5714.4000000000005</v>
      </c>
      <c r="G39" s="2">
        <v>220</v>
      </c>
      <c r="H39" s="2" t="s">
        <v>24</v>
      </c>
      <c r="I39" s="5">
        <v>0.81</v>
      </c>
      <c r="J39" s="5">
        <v>0.49</v>
      </c>
      <c r="K39" s="5">
        <v>0.70200000000000007</v>
      </c>
      <c r="L39" s="5">
        <v>0.69</v>
      </c>
      <c r="M39" s="5">
        <v>0.66</v>
      </c>
      <c r="N39" s="5">
        <v>0.72</v>
      </c>
      <c r="O39" s="5">
        <v>0.61</v>
      </c>
      <c r="P39" s="5">
        <v>0.83</v>
      </c>
      <c r="Q39" s="2" t="e" cm="1">
        <f t="array" ref="Q39">discount(C39)</f>
        <v>#VALUE!</v>
      </c>
    </row>
    <row r="40" spans="1:17" x14ac:dyDescent="0.3">
      <c r="A40" s="3">
        <v>45078</v>
      </c>
      <c r="B40" s="2" t="s">
        <v>19</v>
      </c>
      <c r="C40" s="4">
        <v>14286</v>
      </c>
      <c r="D40" s="4">
        <v>12285.96</v>
      </c>
      <c r="E40" s="4">
        <v>5037.2435999999998</v>
      </c>
      <c r="F40" s="4">
        <v>5714.4000000000005</v>
      </c>
      <c r="G40" s="2">
        <v>228</v>
      </c>
      <c r="H40" s="2" t="s">
        <v>24</v>
      </c>
      <c r="I40" s="5">
        <v>0.86</v>
      </c>
      <c r="J40" s="5">
        <v>0.41</v>
      </c>
      <c r="K40" s="5">
        <v>0.66199999999999992</v>
      </c>
      <c r="L40" s="5">
        <v>0.53</v>
      </c>
      <c r="M40" s="5">
        <v>0.5</v>
      </c>
      <c r="N40" s="5">
        <v>0.6</v>
      </c>
      <c r="O40" s="5">
        <v>0.94</v>
      </c>
      <c r="P40" s="5">
        <v>0.74</v>
      </c>
      <c r="Q40" s="2" t="e" cm="1">
        <f t="array" ref="Q40">discount(C40)</f>
        <v>#VALUE!</v>
      </c>
    </row>
    <row r="41" spans="1:17" x14ac:dyDescent="0.3">
      <c r="A41" s="3">
        <v>45078</v>
      </c>
      <c r="B41" s="2" t="s">
        <v>20</v>
      </c>
      <c r="C41" s="4">
        <v>14286</v>
      </c>
      <c r="D41" s="4">
        <v>10285.92</v>
      </c>
      <c r="E41" s="4">
        <v>4885.8119999999999</v>
      </c>
      <c r="F41" s="4">
        <v>5714.4000000000005</v>
      </c>
      <c r="G41" s="2">
        <v>238</v>
      </c>
      <c r="H41" s="2" t="s">
        <v>24</v>
      </c>
      <c r="I41" s="5">
        <v>0.72</v>
      </c>
      <c r="J41" s="5">
        <v>0.47499999999999998</v>
      </c>
      <c r="K41" s="5">
        <v>0.72199999999999998</v>
      </c>
      <c r="L41" s="5">
        <v>0.93</v>
      </c>
      <c r="M41" s="5">
        <v>0.64</v>
      </c>
      <c r="N41" s="5">
        <v>0.62</v>
      </c>
      <c r="O41" s="5">
        <v>0.59</v>
      </c>
      <c r="P41" s="5">
        <v>0.83</v>
      </c>
      <c r="Q41" s="2" t="e" cm="1">
        <f t="array" ref="Q41">discount(C41)</f>
        <v>#VALUE!</v>
      </c>
    </row>
    <row r="42" spans="1:17" x14ac:dyDescent="0.3">
      <c r="A42" s="3">
        <v>45078</v>
      </c>
      <c r="B42" s="2" t="s">
        <v>21</v>
      </c>
      <c r="C42" s="4">
        <v>14286</v>
      </c>
      <c r="D42" s="4">
        <v>10143.06</v>
      </c>
      <c r="E42" s="4">
        <v>4057.2240000000002</v>
      </c>
      <c r="F42" s="4">
        <v>5714.4000000000005</v>
      </c>
      <c r="G42" s="2">
        <v>228</v>
      </c>
      <c r="H42" s="2" t="s">
        <v>24</v>
      </c>
      <c r="I42" s="5">
        <v>0.71</v>
      </c>
      <c r="J42" s="5">
        <v>0.4</v>
      </c>
      <c r="K42" s="5">
        <v>0.73000000000000009</v>
      </c>
      <c r="L42" s="5">
        <v>0.75</v>
      </c>
      <c r="M42" s="5">
        <v>0.93</v>
      </c>
      <c r="N42" s="5">
        <v>0.63</v>
      </c>
      <c r="O42" s="5">
        <v>0.6</v>
      </c>
      <c r="P42" s="5">
        <v>0.74</v>
      </c>
      <c r="Q42" s="2" t="e" cm="1">
        <f t="array" ref="Q42">discount(C42)</f>
        <v>#VALUE!</v>
      </c>
    </row>
    <row r="43" spans="1:17" x14ac:dyDescent="0.3">
      <c r="A43" s="3">
        <v>45078</v>
      </c>
      <c r="B43" s="2" t="s">
        <v>22</v>
      </c>
      <c r="C43" s="4">
        <v>14286</v>
      </c>
      <c r="D43" s="4">
        <v>13857.42</v>
      </c>
      <c r="E43" s="4">
        <v>6582.2744999999995</v>
      </c>
      <c r="F43" s="4">
        <v>5714.4000000000005</v>
      </c>
      <c r="G43" s="2">
        <v>230</v>
      </c>
      <c r="H43" s="2" t="s">
        <v>24</v>
      </c>
      <c r="I43" s="5">
        <v>0.97</v>
      </c>
      <c r="J43" s="5">
        <v>0.47499999999999998</v>
      </c>
      <c r="K43" s="5">
        <v>0.63200000000000001</v>
      </c>
      <c r="L43" s="5">
        <v>0.85</v>
      </c>
      <c r="M43" s="5">
        <v>0.56000000000000005</v>
      </c>
      <c r="N43" s="5">
        <v>0.62</v>
      </c>
      <c r="O43" s="5">
        <v>0.36</v>
      </c>
      <c r="P43" s="5">
        <v>0.77</v>
      </c>
      <c r="Q43" s="2" t="e" cm="1">
        <f t="array" ref="Q43">discount(C43)</f>
        <v>#VALUE!</v>
      </c>
    </row>
    <row r="44" spans="1:17" x14ac:dyDescent="0.3">
      <c r="A44" s="3">
        <v>45078</v>
      </c>
      <c r="B44" s="2" t="s">
        <v>23</v>
      </c>
      <c r="C44" s="4">
        <v>14286</v>
      </c>
      <c r="D44" s="4">
        <v>13571.699999999999</v>
      </c>
      <c r="E44" s="4">
        <v>5767.9724999999989</v>
      </c>
      <c r="F44" s="4">
        <v>5714.4000000000005</v>
      </c>
      <c r="G44" s="2">
        <v>228</v>
      </c>
      <c r="H44" s="2" t="s">
        <v>24</v>
      </c>
      <c r="I44" s="5">
        <v>0.95</v>
      </c>
      <c r="J44" s="5">
        <v>0.42499999999999999</v>
      </c>
      <c r="K44" s="5">
        <v>0.74</v>
      </c>
      <c r="L44" s="5">
        <v>0.38</v>
      </c>
      <c r="M44" s="5">
        <v>0.8</v>
      </c>
      <c r="N44" s="5">
        <v>0.81</v>
      </c>
      <c r="O44" s="5">
        <v>0.91</v>
      </c>
      <c r="P44" s="5">
        <v>0.8</v>
      </c>
      <c r="Q44" s="2" t="e" cm="1">
        <f t="array" ref="Q44">discount(C44)</f>
        <v>#VALUE!</v>
      </c>
    </row>
    <row r="45" spans="1:17" x14ac:dyDescent="0.3">
      <c r="A45" s="3">
        <v>45108</v>
      </c>
      <c r="B45" s="2" t="s">
        <v>16</v>
      </c>
      <c r="C45" s="4">
        <v>18563</v>
      </c>
      <c r="D45" s="4">
        <v>18006.11</v>
      </c>
      <c r="E45" s="4">
        <v>6302.1385</v>
      </c>
      <c r="F45" s="4">
        <v>7425.2000000000007</v>
      </c>
      <c r="G45" s="2">
        <v>250</v>
      </c>
      <c r="H45" s="2" t="s">
        <v>25</v>
      </c>
      <c r="I45" s="5">
        <v>0.97</v>
      </c>
      <c r="J45" s="5">
        <v>0.35</v>
      </c>
      <c r="K45" s="5">
        <v>0.67599999999999993</v>
      </c>
      <c r="L45" s="5">
        <v>0.73</v>
      </c>
      <c r="M45" s="5">
        <v>0.72</v>
      </c>
      <c r="N45" s="5">
        <v>0.64</v>
      </c>
      <c r="O45" s="5">
        <v>0.57999999999999996</v>
      </c>
      <c r="P45" s="5">
        <v>0.71</v>
      </c>
      <c r="Q45" s="2" t="e" cm="1">
        <f t="array" ref="Q45">discount(C45)</f>
        <v>#VALUE!</v>
      </c>
    </row>
    <row r="46" spans="1:17" x14ac:dyDescent="0.3">
      <c r="A46" s="3">
        <v>45108</v>
      </c>
      <c r="B46" s="2" t="s">
        <v>18</v>
      </c>
      <c r="C46" s="4">
        <v>18563</v>
      </c>
      <c r="D46" s="4">
        <v>16706.7</v>
      </c>
      <c r="E46" s="4">
        <v>8186.2830000000004</v>
      </c>
      <c r="F46" s="4">
        <v>7425.2000000000007</v>
      </c>
      <c r="G46" s="2">
        <v>240</v>
      </c>
      <c r="H46" s="2" t="s">
        <v>25</v>
      </c>
      <c r="I46" s="5">
        <v>0.9</v>
      </c>
      <c r="J46" s="5">
        <v>0.49</v>
      </c>
      <c r="K46" s="5">
        <v>0.76200000000000012</v>
      </c>
      <c r="L46" s="5">
        <v>0.73</v>
      </c>
      <c r="M46" s="5">
        <v>0.86</v>
      </c>
      <c r="N46" s="5">
        <v>0.64</v>
      </c>
      <c r="O46" s="5">
        <v>0.8</v>
      </c>
      <c r="P46" s="5">
        <v>0.78</v>
      </c>
      <c r="Q46" s="2" t="e" cm="1">
        <f t="array" ref="Q46">discount(C46)</f>
        <v>#VALUE!</v>
      </c>
    </row>
    <row r="47" spans="1:17" x14ac:dyDescent="0.3">
      <c r="A47" s="3">
        <v>45108</v>
      </c>
      <c r="B47" s="2" t="s">
        <v>19</v>
      </c>
      <c r="C47" s="4">
        <v>18563</v>
      </c>
      <c r="D47" s="4">
        <v>16706.7</v>
      </c>
      <c r="E47" s="4">
        <v>7935.6824999999999</v>
      </c>
      <c r="F47" s="4">
        <v>7425.2000000000007</v>
      </c>
      <c r="G47" s="2">
        <v>270</v>
      </c>
      <c r="H47" s="2" t="s">
        <v>25</v>
      </c>
      <c r="I47" s="5">
        <v>0.9</v>
      </c>
      <c r="J47" s="5">
        <v>0.47499999999999998</v>
      </c>
      <c r="K47" s="5">
        <v>0.75600000000000001</v>
      </c>
      <c r="L47" s="5">
        <v>0.76</v>
      </c>
      <c r="M47" s="5">
        <v>0.73</v>
      </c>
      <c r="N47" s="5">
        <v>0.9</v>
      </c>
      <c r="O47" s="5">
        <v>0.56000000000000005</v>
      </c>
      <c r="P47" s="5">
        <v>0.83</v>
      </c>
      <c r="Q47" s="2" t="e" cm="1">
        <f t="array" ref="Q47">discount(C47)</f>
        <v>#VALUE!</v>
      </c>
    </row>
    <row r="48" spans="1:17" x14ac:dyDescent="0.3">
      <c r="A48" s="3">
        <v>45108</v>
      </c>
      <c r="B48" s="2" t="s">
        <v>20</v>
      </c>
      <c r="C48" s="4">
        <v>18563</v>
      </c>
      <c r="D48" s="4">
        <v>17820.48</v>
      </c>
      <c r="E48" s="4">
        <v>7217.2944000000007</v>
      </c>
      <c r="F48" s="4">
        <v>7425.2000000000007</v>
      </c>
      <c r="G48" s="2">
        <v>259</v>
      </c>
      <c r="H48" s="2" t="s">
        <v>25</v>
      </c>
      <c r="I48" s="5">
        <v>0.96</v>
      </c>
      <c r="J48" s="5">
        <v>0.40500000000000003</v>
      </c>
      <c r="K48" s="5">
        <v>0.67599999999999993</v>
      </c>
      <c r="L48" s="5">
        <v>0.45</v>
      </c>
      <c r="M48" s="5">
        <v>0.56999999999999995</v>
      </c>
      <c r="N48" s="5">
        <v>0.7</v>
      </c>
      <c r="O48" s="5">
        <v>0.87</v>
      </c>
      <c r="P48" s="5">
        <v>0.79</v>
      </c>
      <c r="Q48" s="2" t="e" cm="1">
        <f t="array" ref="Q48">discount(C48)</f>
        <v>#VALUE!</v>
      </c>
    </row>
    <row r="49" spans="1:17" x14ac:dyDescent="0.3">
      <c r="A49" s="3">
        <v>45108</v>
      </c>
      <c r="B49" s="2" t="s">
        <v>21</v>
      </c>
      <c r="C49" s="4">
        <v>18563</v>
      </c>
      <c r="D49" s="4">
        <v>18191.739999999998</v>
      </c>
      <c r="E49" s="4">
        <v>7640.5307999999986</v>
      </c>
      <c r="F49" s="4">
        <v>7425.2000000000007</v>
      </c>
      <c r="G49" s="2">
        <v>260</v>
      </c>
      <c r="H49" s="2" t="s">
        <v>25</v>
      </c>
      <c r="I49" s="5">
        <v>0.98</v>
      </c>
      <c r="J49" s="5">
        <v>0.42</v>
      </c>
      <c r="K49" s="5">
        <v>0.69000000000000006</v>
      </c>
      <c r="L49" s="5">
        <v>0.64</v>
      </c>
      <c r="M49" s="5">
        <v>0.92</v>
      </c>
      <c r="N49" s="5">
        <v>0.62</v>
      </c>
      <c r="O49" s="5">
        <v>0.56000000000000005</v>
      </c>
      <c r="P49" s="5">
        <v>0.71</v>
      </c>
      <c r="Q49" s="2" t="e" cm="1">
        <f t="array" ref="Q49">discount(C49)</f>
        <v>#VALUE!</v>
      </c>
    </row>
    <row r="50" spans="1:17" x14ac:dyDescent="0.3">
      <c r="A50" s="3">
        <v>45108</v>
      </c>
      <c r="B50" s="2" t="s">
        <v>22</v>
      </c>
      <c r="C50" s="4">
        <v>18563</v>
      </c>
      <c r="D50" s="4">
        <v>14107.880000000001</v>
      </c>
      <c r="E50" s="4">
        <v>4937.7579999999998</v>
      </c>
      <c r="F50" s="4">
        <v>7425.2000000000007</v>
      </c>
      <c r="G50" s="2">
        <v>260</v>
      </c>
      <c r="H50" s="2" t="s">
        <v>25</v>
      </c>
      <c r="I50" s="5">
        <v>0.76</v>
      </c>
      <c r="J50" s="5">
        <v>0.35</v>
      </c>
      <c r="K50" s="5">
        <v>0.55999999999999994</v>
      </c>
      <c r="L50" s="5">
        <v>0.35</v>
      </c>
      <c r="M50" s="5">
        <v>0.65</v>
      </c>
      <c r="N50" s="5">
        <v>0.62</v>
      </c>
      <c r="O50" s="5">
        <v>0.38</v>
      </c>
      <c r="P50" s="5">
        <v>0.8</v>
      </c>
      <c r="Q50" s="2" t="e" cm="1">
        <f t="array" ref="Q50">discount(C50)</f>
        <v>#VALUE!</v>
      </c>
    </row>
    <row r="51" spans="1:17" x14ac:dyDescent="0.3">
      <c r="A51" s="3">
        <v>45108</v>
      </c>
      <c r="B51" s="2" t="s">
        <v>23</v>
      </c>
      <c r="C51" s="4">
        <v>18563</v>
      </c>
      <c r="D51" s="4">
        <v>16892.330000000002</v>
      </c>
      <c r="E51" s="4">
        <v>6503.547050000001</v>
      </c>
      <c r="F51" s="4">
        <v>7425.2000000000007</v>
      </c>
      <c r="G51" s="2">
        <v>261</v>
      </c>
      <c r="H51" s="2" t="s">
        <v>25</v>
      </c>
      <c r="I51" s="5">
        <v>0.91</v>
      </c>
      <c r="J51" s="5">
        <v>0.38500000000000001</v>
      </c>
      <c r="K51" s="5">
        <v>0.63200000000000001</v>
      </c>
      <c r="L51" s="5">
        <v>0.35</v>
      </c>
      <c r="M51" s="5">
        <v>0.9</v>
      </c>
      <c r="N51" s="5">
        <v>0.62</v>
      </c>
      <c r="O51" s="5">
        <v>0.57999999999999996</v>
      </c>
      <c r="P51" s="5">
        <v>0.71</v>
      </c>
      <c r="Q51" s="2" t="e" cm="1">
        <f t="array" ref="Q51">discount(C51)</f>
        <v>#VALUE!</v>
      </c>
    </row>
    <row r="52" spans="1:17" x14ac:dyDescent="0.3">
      <c r="A52" s="3">
        <v>45139</v>
      </c>
      <c r="B52" s="2" t="s">
        <v>16</v>
      </c>
      <c r="C52" s="4">
        <v>18572</v>
      </c>
      <c r="D52" s="4">
        <v>14671.880000000001</v>
      </c>
      <c r="E52" s="4">
        <v>5942.1114000000007</v>
      </c>
      <c r="F52" s="4">
        <v>7428.8</v>
      </c>
      <c r="G52" s="2">
        <v>242</v>
      </c>
      <c r="H52" s="2" t="s">
        <v>25</v>
      </c>
      <c r="I52" s="5">
        <v>0.79</v>
      </c>
      <c r="J52" s="5">
        <v>0.40500000000000003</v>
      </c>
      <c r="K52" s="5">
        <v>0.63800000000000001</v>
      </c>
      <c r="L52" s="5">
        <v>0.35</v>
      </c>
      <c r="M52" s="5">
        <v>0.7</v>
      </c>
      <c r="N52" s="5">
        <v>0.78</v>
      </c>
      <c r="O52" s="5">
        <v>0.56999999999999995</v>
      </c>
      <c r="P52" s="5">
        <v>0.79</v>
      </c>
      <c r="Q52" s="2" t="e" cm="1">
        <f t="array" ref="Q52">discount(C52)</f>
        <v>#VALUE!</v>
      </c>
    </row>
    <row r="53" spans="1:17" x14ac:dyDescent="0.3">
      <c r="A53" s="3">
        <v>45139</v>
      </c>
      <c r="B53" s="2" t="s">
        <v>18</v>
      </c>
      <c r="C53" s="4">
        <v>18572</v>
      </c>
      <c r="D53" s="4">
        <v>15786.199999999999</v>
      </c>
      <c r="E53" s="4">
        <v>6472.3419999999987</v>
      </c>
      <c r="F53" s="4">
        <v>7428.8</v>
      </c>
      <c r="G53" s="2">
        <v>250</v>
      </c>
      <c r="H53" s="2" t="s">
        <v>25</v>
      </c>
      <c r="I53" s="5">
        <v>0.85</v>
      </c>
      <c r="J53" s="5">
        <v>0.41</v>
      </c>
      <c r="K53" s="5">
        <v>0.77000000000000013</v>
      </c>
      <c r="L53" s="5">
        <v>0.9</v>
      </c>
      <c r="M53" s="5">
        <v>0.64</v>
      </c>
      <c r="N53" s="5">
        <v>0.66</v>
      </c>
      <c r="O53" s="5">
        <v>0.91</v>
      </c>
      <c r="P53" s="5">
        <v>0.74</v>
      </c>
      <c r="Q53" s="2" t="e" cm="1">
        <f t="array" ref="Q53">discount(C53)</f>
        <v>#VALUE!</v>
      </c>
    </row>
    <row r="54" spans="1:17" x14ac:dyDescent="0.3">
      <c r="A54" s="3">
        <v>45139</v>
      </c>
      <c r="B54" s="2" t="s">
        <v>19</v>
      </c>
      <c r="C54" s="4">
        <v>18572</v>
      </c>
      <c r="D54" s="4">
        <v>16343.36</v>
      </c>
      <c r="E54" s="4">
        <v>6864.2111999999997</v>
      </c>
      <c r="F54" s="4">
        <v>7428.8</v>
      </c>
      <c r="G54" s="2">
        <v>242</v>
      </c>
      <c r="H54" s="2" t="s">
        <v>25</v>
      </c>
      <c r="I54" s="5">
        <v>0.88</v>
      </c>
      <c r="J54" s="5">
        <v>0.42</v>
      </c>
      <c r="K54" s="5">
        <v>0.76400000000000001</v>
      </c>
      <c r="L54" s="5">
        <v>0.97</v>
      </c>
      <c r="M54" s="5">
        <v>0.48</v>
      </c>
      <c r="N54" s="5">
        <v>0.88</v>
      </c>
      <c r="O54" s="5">
        <v>0.68</v>
      </c>
      <c r="P54" s="5">
        <v>0.81</v>
      </c>
      <c r="Q54" s="2" t="e" cm="1">
        <f t="array" ref="Q54">discount(C54)</f>
        <v>#VALUE!</v>
      </c>
    </row>
    <row r="55" spans="1:17" x14ac:dyDescent="0.3">
      <c r="A55" s="3">
        <v>45139</v>
      </c>
      <c r="B55" s="2" t="s">
        <v>20</v>
      </c>
      <c r="C55" s="4">
        <v>18572</v>
      </c>
      <c r="D55" s="4">
        <v>15043.320000000002</v>
      </c>
      <c r="E55" s="4">
        <v>6919.927200000001</v>
      </c>
      <c r="F55" s="4">
        <v>7428.8</v>
      </c>
      <c r="G55" s="2">
        <v>242</v>
      </c>
      <c r="H55" s="2" t="s">
        <v>25</v>
      </c>
      <c r="I55" s="5">
        <v>0.81</v>
      </c>
      <c r="J55" s="5">
        <v>0.46</v>
      </c>
      <c r="K55" s="5">
        <v>0.69000000000000006</v>
      </c>
      <c r="L55" s="5">
        <v>0.56999999999999995</v>
      </c>
      <c r="M55" s="5">
        <v>0.63</v>
      </c>
      <c r="N55" s="5">
        <v>0.75</v>
      </c>
      <c r="O55" s="5">
        <v>0.67</v>
      </c>
      <c r="P55" s="5">
        <v>0.83</v>
      </c>
      <c r="Q55" s="2" t="e" cm="1">
        <f t="array" ref="Q55">discount(C55)</f>
        <v>#VALUE!</v>
      </c>
    </row>
    <row r="56" spans="1:17" x14ac:dyDescent="0.3">
      <c r="A56" s="3">
        <v>45139</v>
      </c>
      <c r="B56" s="2" t="s">
        <v>21</v>
      </c>
      <c r="C56" s="4">
        <v>18572</v>
      </c>
      <c r="D56" s="4">
        <v>15600.48</v>
      </c>
      <c r="E56" s="4">
        <v>5694.1751999999997</v>
      </c>
      <c r="F56" s="4">
        <v>7428.8</v>
      </c>
      <c r="G56" s="2">
        <v>242</v>
      </c>
      <c r="H56" s="2" t="s">
        <v>25</v>
      </c>
      <c r="I56" s="5">
        <v>0.84</v>
      </c>
      <c r="J56" s="5">
        <v>0.36499999999999999</v>
      </c>
      <c r="K56" s="5">
        <v>0.7659999999999999</v>
      </c>
      <c r="L56" s="5">
        <v>0.73</v>
      </c>
      <c r="M56" s="5">
        <v>0.83</v>
      </c>
      <c r="N56" s="5">
        <v>0.67</v>
      </c>
      <c r="O56" s="5">
        <v>0.78</v>
      </c>
      <c r="P56" s="5">
        <v>0.82</v>
      </c>
      <c r="Q56" s="2" t="e" cm="1">
        <f t="array" ref="Q56">discount(C56)</f>
        <v>#VALUE!</v>
      </c>
    </row>
    <row r="57" spans="1:17" x14ac:dyDescent="0.3">
      <c r="A57" s="3">
        <v>45139</v>
      </c>
      <c r="B57" s="2" t="s">
        <v>22</v>
      </c>
      <c r="C57" s="4">
        <v>18572</v>
      </c>
      <c r="D57" s="4">
        <v>17271.96</v>
      </c>
      <c r="E57" s="4">
        <v>6822.4242000000004</v>
      </c>
      <c r="F57" s="4">
        <v>7428.8</v>
      </c>
      <c r="G57" s="2">
        <v>240</v>
      </c>
      <c r="H57" s="2" t="s">
        <v>25</v>
      </c>
      <c r="I57" s="5">
        <v>0.93</v>
      </c>
      <c r="J57" s="5">
        <v>0.39500000000000002</v>
      </c>
      <c r="K57" s="5">
        <v>0.61</v>
      </c>
      <c r="L57" s="5">
        <v>0.38</v>
      </c>
      <c r="M57" s="5">
        <v>0.82</v>
      </c>
      <c r="N57" s="5">
        <v>0.66</v>
      </c>
      <c r="O57" s="5">
        <v>0.36</v>
      </c>
      <c r="P57" s="5">
        <v>0.83</v>
      </c>
      <c r="Q57" s="2" t="e" cm="1">
        <f t="array" ref="Q57">discount(C57)</f>
        <v>#VALUE!</v>
      </c>
    </row>
    <row r="58" spans="1:17" x14ac:dyDescent="0.3">
      <c r="A58" s="3">
        <v>45139</v>
      </c>
      <c r="B58" s="2" t="s">
        <v>23</v>
      </c>
      <c r="C58" s="4">
        <v>18572</v>
      </c>
      <c r="D58" s="4">
        <v>15600.48</v>
      </c>
      <c r="E58" s="4">
        <v>6162.1895999999997</v>
      </c>
      <c r="F58" s="4">
        <v>7428.8</v>
      </c>
      <c r="G58" s="2">
        <v>242</v>
      </c>
      <c r="H58" s="2" t="s">
        <v>25</v>
      </c>
      <c r="I58" s="5">
        <v>0.84</v>
      </c>
      <c r="J58" s="5">
        <v>0.39500000000000002</v>
      </c>
      <c r="K58" s="5">
        <v>0.64200000000000002</v>
      </c>
      <c r="L58" s="5">
        <v>0.36</v>
      </c>
      <c r="M58" s="5">
        <v>0.85</v>
      </c>
      <c r="N58" s="5">
        <v>0.74</v>
      </c>
      <c r="O58" s="5">
        <v>0.46</v>
      </c>
      <c r="P58" s="5">
        <v>0.8</v>
      </c>
      <c r="Q58" s="2" t="e" cm="1">
        <f t="array" ref="Q58">discount(C58)</f>
        <v>#VALUE!</v>
      </c>
    </row>
    <row r="59" spans="1:17" x14ac:dyDescent="0.3">
      <c r="A59" s="3">
        <v>45170</v>
      </c>
      <c r="B59" s="2" t="s">
        <v>16</v>
      </c>
      <c r="C59" s="4">
        <v>17858</v>
      </c>
      <c r="D59" s="4">
        <v>15179.3</v>
      </c>
      <c r="E59" s="4">
        <v>6906.5815000000002</v>
      </c>
      <c r="F59" s="4">
        <v>7143.2000000000007</v>
      </c>
      <c r="G59" s="2">
        <v>285</v>
      </c>
      <c r="H59" s="2" t="s">
        <v>25</v>
      </c>
      <c r="I59" s="5">
        <v>0.85</v>
      </c>
      <c r="J59" s="5">
        <v>0.45500000000000002</v>
      </c>
      <c r="K59" s="5">
        <v>0.77</v>
      </c>
      <c r="L59" s="5">
        <v>0.62</v>
      </c>
      <c r="M59" s="5">
        <v>0.84</v>
      </c>
      <c r="N59" s="5">
        <v>0.79</v>
      </c>
      <c r="O59" s="5">
        <v>0.75</v>
      </c>
      <c r="P59" s="5">
        <v>0.85</v>
      </c>
      <c r="Q59" s="2" t="e" cm="1">
        <f t="array" ref="Q59">discount(C59)</f>
        <v>#VALUE!</v>
      </c>
    </row>
    <row r="60" spans="1:17" x14ac:dyDescent="0.3">
      <c r="A60" s="3">
        <v>45170</v>
      </c>
      <c r="B60" s="2" t="s">
        <v>18</v>
      </c>
      <c r="C60" s="4">
        <v>17858</v>
      </c>
      <c r="D60" s="4">
        <v>15357.88</v>
      </c>
      <c r="E60" s="4">
        <v>5759.2049999999999</v>
      </c>
      <c r="F60" s="4">
        <v>7143.2000000000007</v>
      </c>
      <c r="G60" s="2">
        <v>275</v>
      </c>
      <c r="H60" s="2" t="s">
        <v>25</v>
      </c>
      <c r="I60" s="5">
        <v>0.86</v>
      </c>
      <c r="J60" s="5">
        <v>0.375</v>
      </c>
      <c r="K60" s="5">
        <v>0.76</v>
      </c>
      <c r="L60" s="5">
        <v>0.65</v>
      </c>
      <c r="M60" s="5">
        <v>0.9</v>
      </c>
      <c r="N60" s="5">
        <v>0.68</v>
      </c>
      <c r="O60" s="5">
        <v>0.75</v>
      </c>
      <c r="P60" s="5">
        <v>0.82</v>
      </c>
      <c r="Q60" s="2" t="e" cm="1">
        <f t="array" ref="Q60">discount(C60)</f>
        <v>#VALUE!</v>
      </c>
    </row>
    <row r="61" spans="1:17" x14ac:dyDescent="0.3">
      <c r="A61" s="3">
        <v>45170</v>
      </c>
      <c r="B61" s="2" t="s">
        <v>19</v>
      </c>
      <c r="C61" s="4">
        <v>17858</v>
      </c>
      <c r="D61" s="4">
        <v>17143.68</v>
      </c>
      <c r="E61" s="4">
        <v>6600.3168000000005</v>
      </c>
      <c r="F61" s="4">
        <v>7143.2000000000007</v>
      </c>
      <c r="G61" s="2">
        <v>285</v>
      </c>
      <c r="H61" s="2" t="s">
        <v>25</v>
      </c>
      <c r="I61" s="5">
        <v>0.96</v>
      </c>
      <c r="J61" s="5">
        <v>0.38500000000000001</v>
      </c>
      <c r="K61" s="5">
        <v>0.64600000000000002</v>
      </c>
      <c r="L61" s="5">
        <v>0.9</v>
      </c>
      <c r="M61" s="5">
        <v>0.47</v>
      </c>
      <c r="N61" s="5">
        <v>0.66</v>
      </c>
      <c r="O61" s="5">
        <v>0.38</v>
      </c>
      <c r="P61" s="5">
        <v>0.82</v>
      </c>
      <c r="Q61" s="2" t="e" cm="1">
        <f t="array" ref="Q61">discount(C61)</f>
        <v>#VALUE!</v>
      </c>
    </row>
    <row r="62" spans="1:17" x14ac:dyDescent="0.3">
      <c r="A62" s="3">
        <v>45170</v>
      </c>
      <c r="B62" s="2" t="s">
        <v>20</v>
      </c>
      <c r="C62" s="4">
        <v>17858</v>
      </c>
      <c r="D62" s="4">
        <v>17679.419999999998</v>
      </c>
      <c r="E62" s="4">
        <v>8574.5186999999987</v>
      </c>
      <c r="F62" s="4">
        <v>7143.2000000000007</v>
      </c>
      <c r="G62" s="2">
        <v>290</v>
      </c>
      <c r="H62" s="2" t="s">
        <v>25</v>
      </c>
      <c r="I62" s="5">
        <v>0.99</v>
      </c>
      <c r="J62" s="5">
        <v>0.48499999999999999</v>
      </c>
      <c r="K62" s="5">
        <v>0.67999999999999994</v>
      </c>
      <c r="L62" s="5">
        <v>0.89</v>
      </c>
      <c r="M62" s="5">
        <v>0.54</v>
      </c>
      <c r="N62" s="5">
        <v>0.75</v>
      </c>
      <c r="O62" s="5">
        <v>0.49</v>
      </c>
      <c r="P62" s="5">
        <v>0.73</v>
      </c>
      <c r="Q62" s="2" t="e" cm="1">
        <f t="array" ref="Q62">discount(C62)</f>
        <v>#VALUE!</v>
      </c>
    </row>
    <row r="63" spans="1:17" x14ac:dyDescent="0.3">
      <c r="A63" s="3">
        <v>45170</v>
      </c>
      <c r="B63" s="2" t="s">
        <v>21</v>
      </c>
      <c r="C63" s="4">
        <v>17858</v>
      </c>
      <c r="D63" s="4">
        <v>13750.66</v>
      </c>
      <c r="E63" s="4">
        <v>4950.2375999999995</v>
      </c>
      <c r="F63" s="4">
        <v>7143.2000000000007</v>
      </c>
      <c r="G63" s="2">
        <v>310</v>
      </c>
      <c r="H63" s="2" t="s">
        <v>25</v>
      </c>
      <c r="I63" s="5">
        <v>0.77</v>
      </c>
      <c r="J63" s="5">
        <v>0.36</v>
      </c>
      <c r="K63" s="5">
        <v>0.65600000000000003</v>
      </c>
      <c r="L63" s="5">
        <v>0.46</v>
      </c>
      <c r="M63" s="5">
        <v>0.52</v>
      </c>
      <c r="N63" s="5">
        <v>0.6</v>
      </c>
      <c r="O63" s="5">
        <v>0.94</v>
      </c>
      <c r="P63" s="5">
        <v>0.76</v>
      </c>
      <c r="Q63" s="2" t="e" cm="1">
        <f t="array" ref="Q63">discount(C63)</f>
        <v>#VALUE!</v>
      </c>
    </row>
    <row r="64" spans="1:17" x14ac:dyDescent="0.3">
      <c r="A64" s="3">
        <v>45170</v>
      </c>
      <c r="B64" s="2" t="s">
        <v>22</v>
      </c>
      <c r="C64" s="4">
        <v>17858</v>
      </c>
      <c r="D64" s="4">
        <v>13750.66</v>
      </c>
      <c r="E64" s="4">
        <v>6600.3167999999996</v>
      </c>
      <c r="F64" s="4">
        <v>7143.2000000000007</v>
      </c>
      <c r="G64" s="2">
        <v>270</v>
      </c>
      <c r="H64" s="2" t="s">
        <v>25</v>
      </c>
      <c r="I64" s="5">
        <v>0.77</v>
      </c>
      <c r="J64" s="5">
        <v>0.48</v>
      </c>
      <c r="K64" s="5">
        <v>0.68599999999999994</v>
      </c>
      <c r="L64" s="5">
        <v>0.36</v>
      </c>
      <c r="M64" s="5">
        <v>0.56000000000000005</v>
      </c>
      <c r="N64" s="5">
        <v>0.84</v>
      </c>
      <c r="O64" s="5">
        <v>0.85</v>
      </c>
      <c r="P64" s="5">
        <v>0.82</v>
      </c>
      <c r="Q64" s="2" t="e" cm="1">
        <f t="array" ref="Q64">discount(C64)</f>
        <v>#VALUE!</v>
      </c>
    </row>
    <row r="65" spans="1:17" x14ac:dyDescent="0.3">
      <c r="A65" s="3">
        <v>45170</v>
      </c>
      <c r="B65" s="2" t="s">
        <v>23</v>
      </c>
      <c r="C65" s="4">
        <v>17858</v>
      </c>
      <c r="D65" s="4">
        <v>13929.24</v>
      </c>
      <c r="E65" s="4">
        <v>5571.6959999999999</v>
      </c>
      <c r="F65" s="4">
        <v>7143.2000000000007</v>
      </c>
      <c r="G65" s="2">
        <v>285</v>
      </c>
      <c r="H65" s="2" t="s">
        <v>25</v>
      </c>
      <c r="I65" s="5">
        <v>0.78</v>
      </c>
      <c r="J65" s="5">
        <v>0.4</v>
      </c>
      <c r="K65" s="5">
        <v>0.73399999999999999</v>
      </c>
      <c r="L65" s="5">
        <v>0.78</v>
      </c>
      <c r="M65" s="5">
        <v>0.57999999999999996</v>
      </c>
      <c r="N65" s="5">
        <v>0.68</v>
      </c>
      <c r="O65" s="5">
        <v>0.93</v>
      </c>
      <c r="P65" s="5">
        <v>0.7</v>
      </c>
      <c r="Q65" s="2" t="e" cm="1">
        <f t="array" ref="Q65">discount(C65)</f>
        <v>#VALUE!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Tableau bord</vt:lpstr>
      <vt:lpstr>Données traités</vt:lpstr>
      <vt:lpstr>Contacts mails</vt:lpstr>
      <vt:lpstr>🔒BD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CAILLE</dc:creator>
  <cp:lastModifiedBy>Abdeslem Issaadi</cp:lastModifiedBy>
  <dcterms:created xsi:type="dcterms:W3CDTF">2023-11-23T08:30:31Z</dcterms:created>
  <dcterms:modified xsi:type="dcterms:W3CDTF">2025-01-08T20:54:30Z</dcterms:modified>
</cp:coreProperties>
</file>